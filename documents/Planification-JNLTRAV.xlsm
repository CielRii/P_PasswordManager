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8FDAE93A-2ED3-44E8-8AF2-EBAA62F2642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Journal!$B$49:$G$203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2" l="1"/>
  <c r="C19" i="12"/>
  <c r="C27" i="12"/>
  <c r="C38" i="12"/>
  <c r="C47" i="12"/>
  <c r="C56" i="12"/>
  <c r="C66" i="12"/>
  <c r="C78" i="12"/>
  <c r="C91" i="12"/>
  <c r="C100" i="12"/>
  <c r="C111" i="12"/>
  <c r="C122" i="12"/>
  <c r="C131" i="12"/>
  <c r="D16" i="12"/>
  <c r="D15" i="12"/>
  <c r="D64" i="12"/>
  <c r="D35" i="12"/>
  <c r="D46" i="12"/>
  <c r="D55" i="12"/>
  <c r="D25" i="12"/>
  <c r="D14" i="12"/>
  <c r="D43" i="12"/>
  <c r="D51" i="12"/>
  <c r="D116" i="12"/>
  <c r="D117" i="12"/>
  <c r="D78" i="12"/>
  <c r="D13" i="12"/>
  <c r="D42" i="12"/>
  <c r="D27" i="12"/>
  <c r="D70" i="12"/>
  <c r="D61" i="12"/>
  <c r="D107" i="12"/>
  <c r="D19" i="12"/>
  <c r="D137" i="12"/>
  <c r="D72" i="12"/>
  <c r="D131" i="12"/>
  <c r="D52" i="12"/>
  <c r="D111" i="12"/>
  <c r="D86" i="12"/>
  <c r="D82" i="12"/>
  <c r="D34" i="12"/>
  <c r="D26" i="12"/>
  <c r="D77" i="12"/>
  <c r="D97" i="12"/>
  <c r="D130" i="12"/>
  <c r="D37" i="12"/>
  <c r="D87" i="12"/>
  <c r="D84" i="12"/>
  <c r="D36" i="12"/>
  <c r="D120" i="12"/>
  <c r="D75" i="12"/>
  <c r="D109" i="12"/>
  <c r="D119" i="12"/>
  <c r="D60" i="12"/>
  <c r="D122" i="12"/>
  <c r="D89" i="12"/>
  <c r="D53" i="12"/>
  <c r="D17" i="12"/>
  <c r="D106" i="12"/>
  <c r="D32" i="12"/>
  <c r="D108" i="12"/>
  <c r="D45" i="12"/>
  <c r="D99" i="12"/>
  <c r="D83" i="12"/>
  <c r="D104" i="12"/>
  <c r="D110" i="12"/>
  <c r="D56" i="12"/>
  <c r="D31" i="12"/>
  <c r="D126" i="12"/>
  <c r="D24" i="12"/>
  <c r="D33" i="12"/>
  <c r="D18" i="12"/>
  <c r="D95" i="12"/>
  <c r="D100" i="12"/>
  <c r="D128" i="12"/>
  <c r="D118" i="12"/>
  <c r="D62" i="12"/>
  <c r="D90" i="12"/>
  <c r="D66" i="12"/>
  <c r="D121" i="12"/>
  <c r="D129" i="12"/>
  <c r="D96" i="12"/>
  <c r="D91" i="12"/>
  <c r="D105" i="12"/>
  <c r="D98" i="12"/>
  <c r="D47" i="12"/>
  <c r="D71" i="12"/>
  <c r="D88" i="12"/>
  <c r="D63" i="12"/>
  <c r="D127" i="12"/>
  <c r="D115" i="12"/>
  <c r="D74" i="12"/>
  <c r="D38" i="12"/>
  <c r="D73" i="12"/>
  <c r="D23" i="12"/>
  <c r="D65" i="12"/>
  <c r="D54" i="12"/>
  <c r="D85" i="12"/>
  <c r="D44" i="12"/>
  <c r="D76" i="12"/>
  <c r="D7" i="12"/>
  <c r="D6" i="12"/>
  <c r="D5" i="12"/>
  <c r="D8" i="12"/>
  <c r="D4" i="12"/>
  <c r="D9" i="12"/>
  <c r="C141" i="12" l="1"/>
  <c r="C149" i="12"/>
  <c r="C161" i="12"/>
  <c r="C172" i="12"/>
  <c r="C202" i="12"/>
  <c r="C193" i="12"/>
  <c r="C185" i="12"/>
  <c r="E59" i="1"/>
  <c r="D108" i="10"/>
  <c r="D154" i="12"/>
  <c r="D197" i="12"/>
  <c r="D202" i="12"/>
  <c r="D155" i="12"/>
  <c r="D180" i="12"/>
  <c r="D135" i="12"/>
  <c r="D159" i="12"/>
  <c r="D191" i="12"/>
  <c r="D138" i="12"/>
  <c r="D148" i="12"/>
  <c r="D165" i="12"/>
  <c r="D145" i="12"/>
  <c r="D169" i="12"/>
  <c r="D166" i="12"/>
  <c r="D160" i="12"/>
  <c r="D146" i="12"/>
  <c r="D189" i="12"/>
  <c r="D181" i="12"/>
  <c r="D192" i="12"/>
  <c r="D177" i="12"/>
  <c r="D200" i="12"/>
  <c r="D183" i="12"/>
  <c r="D184" i="12"/>
  <c r="D158" i="12"/>
  <c r="D147" i="12"/>
  <c r="D179" i="12"/>
  <c r="D185" i="12"/>
  <c r="D170" i="12"/>
  <c r="D171" i="12"/>
  <c r="D153" i="12"/>
  <c r="D190" i="12"/>
  <c r="D157" i="12"/>
  <c r="D176" i="12"/>
  <c r="D139" i="12"/>
  <c r="D172" i="12"/>
  <c r="D161" i="12"/>
  <c r="D149" i="12"/>
  <c r="D201" i="12"/>
  <c r="D140" i="12"/>
  <c r="D178" i="12"/>
  <c r="D198" i="12"/>
  <c r="D136" i="12"/>
  <c r="D168" i="12"/>
  <c r="D156" i="12"/>
  <c r="D193" i="12"/>
  <c r="D141" i="12"/>
  <c r="D167" i="12"/>
  <c r="D182" i="12"/>
  <c r="D199"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<sst xmlns="http://schemas.openxmlformats.org/spreadsheetml/2006/main" count="1275" uniqueCount="283">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</sst>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49" priority="31" operator="greaterThan">
      <formula>60</formula>
    </cfRule>
  </conditionalFormatting>
  <conditionalFormatting sqref="C178">
    <cfRule type="cellIs" dxfId="48" priority="30" operator="greaterThan">
      <formula>60</formula>
    </cfRule>
  </conditionalFormatting>
  <conditionalFormatting sqref="C170">
    <cfRule type="cellIs" dxfId="47" priority="29" operator="greaterThan">
      <formula>60</formula>
    </cfRule>
  </conditionalFormatting>
  <conditionalFormatting sqref="C162">
    <cfRule type="cellIs" dxfId="46" priority="28" operator="greaterThan">
      <formula>60</formula>
    </cfRule>
  </conditionalFormatting>
  <conditionalFormatting sqref="C154">
    <cfRule type="cellIs" dxfId="45" priority="27" operator="greaterThan">
      <formula>60</formula>
    </cfRule>
  </conditionalFormatting>
  <conditionalFormatting sqref="C144">
    <cfRule type="cellIs" dxfId="44" priority="26" operator="greaterThan">
      <formula>60</formula>
    </cfRule>
  </conditionalFormatting>
  <conditionalFormatting sqref="C137">
    <cfRule type="cellIs" dxfId="43" priority="25" operator="greaterThan">
      <formula>60</formula>
    </cfRule>
  </conditionalFormatting>
  <conditionalFormatting sqref="C130">
    <cfRule type="cellIs" dxfId="42" priority="24" operator="greaterThan">
      <formula>60</formula>
    </cfRule>
  </conditionalFormatting>
  <conditionalFormatting sqref="C123">
    <cfRule type="cellIs" dxfId="41" priority="23" operator="greaterThan">
      <formula>60</formula>
    </cfRule>
  </conditionalFormatting>
  <conditionalFormatting sqref="C116">
    <cfRule type="cellIs" dxfId="40" priority="22" operator="greaterThan">
      <formula>60</formula>
    </cfRule>
  </conditionalFormatting>
  <conditionalFormatting sqref="C110">
    <cfRule type="cellIs" dxfId="39" priority="21" operator="greaterThan">
      <formula>60</formula>
    </cfRule>
  </conditionalFormatting>
  <conditionalFormatting sqref="C104">
    <cfRule type="cellIs" dxfId="38" priority="20" operator="greaterThan">
      <formula>60</formula>
    </cfRule>
  </conditionalFormatting>
  <conditionalFormatting sqref="C98">
    <cfRule type="cellIs" dxfId="37" priority="19" operator="greaterThan">
      <formula>60</formula>
    </cfRule>
  </conditionalFormatting>
  <conditionalFormatting sqref="C92">
    <cfRule type="cellIs" dxfId="36" priority="18" operator="greaterThan">
      <formula>60</formula>
    </cfRule>
  </conditionalFormatting>
  <conditionalFormatting sqref="C86">
    <cfRule type="cellIs" dxfId="35" priority="17" operator="greaterThan">
      <formula>60</formula>
    </cfRule>
  </conditionalFormatting>
  <conditionalFormatting sqref="C80">
    <cfRule type="cellIs" dxfId="34" priority="16" operator="greaterThan">
      <formula>60</formula>
    </cfRule>
  </conditionalFormatting>
  <conditionalFormatting sqref="C74">
    <cfRule type="cellIs" dxfId="33" priority="15" operator="greaterThan">
      <formula>60</formula>
    </cfRule>
  </conditionalFormatting>
  <conditionalFormatting sqref="C68">
    <cfRule type="cellIs" dxfId="32" priority="14" operator="greaterThan">
      <formula>60</formula>
    </cfRule>
  </conditionalFormatting>
  <conditionalFormatting sqref="C61">
    <cfRule type="cellIs" dxfId="31" priority="13" operator="greaterThan">
      <formula>60</formula>
    </cfRule>
  </conditionalFormatting>
  <conditionalFormatting sqref="C55">
    <cfRule type="cellIs" dxfId="30" priority="12" operator="greaterThan">
      <formula>60</formula>
    </cfRule>
  </conditionalFormatting>
  <conditionalFormatting sqref="C49">
    <cfRule type="cellIs" dxfId="29" priority="11" operator="greaterThan">
      <formula>60</formula>
    </cfRule>
  </conditionalFormatting>
  <conditionalFormatting sqref="C43">
    <cfRule type="cellIs" dxfId="28" priority="10" operator="greaterThan">
      <formula>60</formula>
    </cfRule>
  </conditionalFormatting>
  <conditionalFormatting sqref="C37">
    <cfRule type="cellIs" dxfId="27" priority="9" operator="greaterThan">
      <formula>60</formula>
    </cfRule>
  </conditionalFormatting>
  <conditionalFormatting sqref="C31">
    <cfRule type="cellIs" dxfId="26" priority="8" operator="greaterThan">
      <formula>60</formula>
    </cfRule>
  </conditionalFormatting>
  <conditionalFormatting sqref="C25">
    <cfRule type="cellIs" dxfId="25" priority="7" operator="greaterThan">
      <formula>60</formula>
    </cfRule>
  </conditionalFormatting>
  <conditionalFormatting sqref="C19">
    <cfRule type="cellIs" dxfId="24" priority="6" operator="greaterThan">
      <formula>60</formula>
    </cfRule>
  </conditionalFormatting>
  <conditionalFormatting sqref="C13">
    <cfRule type="cellIs" dxfId="23" priority="5" operator="greaterThan">
      <formula>60</formula>
    </cfRule>
  </conditionalFormatting>
  <conditionalFormatting sqref="C6">
    <cfRule type="cellIs" dxfId="22"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03"/>
  <sheetViews>
    <sheetView showGridLines="0" tabSelected="1" zoomScaleNormal="100" zoomScaleSheetLayoutView="98" workbookViewId="0">
      <pane ySplit="1" topLeftCell="A3"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20</v>
      </c>
      <c r="D2" s="136"/>
      <c r="E2" s="129" t="s">
        <v>38</v>
      </c>
      <c r="F2" s="130" t="s">
        <v>116</v>
      </c>
      <c r="G2" s="131" t="s">
        <v>68</v>
      </c>
      <c r="H2" s="150"/>
    </row>
    <row r="3" spans="2:8" s="39" customFormat="1" ht="30" customHeight="1" thickBot="1" x14ac:dyDescent="0.3">
      <c r="B3" s="61" t="s">
        <v>39</v>
      </c>
      <c r="C3" s="133" t="s">
        <v>40</v>
      </c>
      <c r="D3" s="132"/>
      <c r="E3" s="61" t="s">
        <v>41</v>
      </c>
      <c r="F3" s="253" t="s">
        <v>42</v>
      </c>
      <c r="G3" s="254"/>
      <c r="H3" s="150"/>
    </row>
    <row r="4" spans="2:8" s="43" customFormat="1" ht="27" x14ac:dyDescent="0.3">
      <c r="B4" s="40" t="s">
        <v>32</v>
      </c>
      <c r="C4" s="41">
        <v>8</v>
      </c>
      <c r="D4" s="124" t="str">
        <f xml:space="preserve"> IF(C4="","",setValueToTime(C4))</f>
        <v xml:space="preserve"> 40 min</v>
      </c>
      <c r="E4" s="42" t="s">
        <v>282</v>
      </c>
      <c r="F4" s="255"/>
      <c r="G4" s="256"/>
      <c r="H4" s="151"/>
    </row>
    <row r="5" spans="2:8" s="43" customFormat="1" ht="54" x14ac:dyDescent="0.3">
      <c r="B5" s="44" t="s">
        <v>34</v>
      </c>
      <c r="C5" s="45">
        <v>12</v>
      </c>
      <c r="D5" s="125" t="str">
        <f t="shared" ref="D5:D8" si="0" xml:space="preserve"> IF(C5="","",setValueToTime(C5))</f>
        <v>1h</v>
      </c>
      <c r="E5" s="46" t="s">
        <v>279</v>
      </c>
      <c r="F5" s="257" t="s">
        <v>277</v>
      </c>
      <c r="G5" s="258"/>
      <c r="H5" s="151"/>
    </row>
    <row r="6" spans="2:8" s="43" customFormat="1" ht="59.25" customHeight="1" x14ac:dyDescent="0.3">
      <c r="B6" s="44" t="s">
        <v>34</v>
      </c>
      <c r="C6" s="45">
        <v>12</v>
      </c>
      <c r="D6" s="125" t="str">
        <f t="shared" si="0"/>
        <v>1h</v>
      </c>
      <c r="E6" s="46" t="s">
        <v>281</v>
      </c>
      <c r="F6" s="263" t="s">
        <v>278</v>
      </c>
      <c r="G6" s="258"/>
      <c r="H6" s="151"/>
    </row>
    <row r="7" spans="2:8" s="43" customFormat="1" x14ac:dyDescent="0.3">
      <c r="B7" s="44" t="s">
        <v>34</v>
      </c>
      <c r="C7" s="45">
        <v>3</v>
      </c>
      <c r="D7" s="125" t="str">
        <f t="shared" si="0"/>
        <v xml:space="preserve"> 15 min</v>
      </c>
      <c r="E7" s="46" t="s">
        <v>280</v>
      </c>
      <c r="F7" s="259"/>
      <c r="G7" s="258"/>
      <c r="H7" s="151"/>
    </row>
    <row r="8" spans="2:8" s="43" customFormat="1" ht="27.75" thickBot="1" x14ac:dyDescent="0.35">
      <c r="B8" s="47" t="s">
        <v>31</v>
      </c>
      <c r="C8" s="47">
        <v>3</v>
      </c>
      <c r="D8" s="127" t="str">
        <f t="shared" si="0"/>
        <v xml:space="preserve"> 15 min</v>
      </c>
      <c r="E8" s="48" t="s">
        <v>204</v>
      </c>
      <c r="F8" s="260"/>
      <c r="G8" s="261"/>
      <c r="H8" s="151"/>
    </row>
    <row r="9" spans="2:8" s="43" customFormat="1" ht="15" thickBot="1" x14ac:dyDescent="0.35">
      <c r="B9" s="134" t="s">
        <v>44</v>
      </c>
      <c r="C9" s="66">
        <f>SUM(C4:C8)</f>
        <v>38</v>
      </c>
      <c r="D9" s="134" t="str">
        <f xml:space="preserve"> setValueToTime(C9)</f>
        <v>3h 10 min</v>
      </c>
      <c r="E9" s="95"/>
      <c r="F9" s="251"/>
      <c r="G9" s="252"/>
      <c r="H9" s="151"/>
    </row>
    <row r="10" spans="2:8" s="43" customFormat="1" ht="15" thickBot="1" x14ac:dyDescent="0.35">
      <c r="B10" s="60"/>
      <c r="C10" s="60"/>
      <c r="D10" s="60"/>
      <c r="E10" s="60"/>
      <c r="F10" s="60"/>
      <c r="G10" s="60"/>
      <c r="H10" s="151"/>
    </row>
    <row r="11" spans="2:8" s="39" customFormat="1" ht="30" customHeight="1" thickBot="1" x14ac:dyDescent="0.3">
      <c r="B11" s="128" t="s">
        <v>37</v>
      </c>
      <c r="C11" s="136">
        <v>19</v>
      </c>
      <c r="D11" s="136"/>
      <c r="E11" s="129" t="s">
        <v>38</v>
      </c>
      <c r="F11" s="130" t="s">
        <v>116</v>
      </c>
      <c r="G11" s="131" t="s">
        <v>66</v>
      </c>
      <c r="H11" s="150"/>
    </row>
    <row r="12" spans="2:8" s="39" customFormat="1" ht="30" customHeight="1" thickBot="1" x14ac:dyDescent="0.3">
      <c r="B12" s="61" t="s">
        <v>39</v>
      </c>
      <c r="C12" s="133" t="s">
        <v>40</v>
      </c>
      <c r="D12" s="132"/>
      <c r="E12" s="61" t="s">
        <v>41</v>
      </c>
      <c r="F12" s="253" t="s">
        <v>42</v>
      </c>
      <c r="G12" s="254"/>
      <c r="H12" s="150"/>
    </row>
    <row r="13" spans="2:8" s="43" customFormat="1" x14ac:dyDescent="0.3">
      <c r="B13" s="40" t="s">
        <v>32</v>
      </c>
      <c r="C13" s="41">
        <v>12</v>
      </c>
      <c r="D13" s="124" t="str">
        <f xml:space="preserve"> IF(C13="","",setValueToTime(C13))</f>
        <v>1h</v>
      </c>
      <c r="E13" s="42" t="s">
        <v>272</v>
      </c>
      <c r="F13" s="255"/>
      <c r="G13" s="256"/>
      <c r="H13" s="151"/>
    </row>
    <row r="14" spans="2:8" s="43" customFormat="1" x14ac:dyDescent="0.3">
      <c r="B14" s="44" t="s">
        <v>32</v>
      </c>
      <c r="C14" s="45">
        <v>12</v>
      </c>
      <c r="D14" s="125" t="str">
        <f t="shared" ref="D14:D18" si="1" xml:space="preserve"> IF(C14="","",setValueToTime(C14))</f>
        <v>1h</v>
      </c>
      <c r="E14" s="46" t="s">
        <v>273</v>
      </c>
      <c r="F14" s="259"/>
      <c r="G14" s="258"/>
      <c r="H14" s="151"/>
    </row>
    <row r="15" spans="2:8" s="43" customFormat="1" x14ac:dyDescent="0.3">
      <c r="B15" s="44" t="s">
        <v>32</v>
      </c>
      <c r="C15" s="45">
        <v>12</v>
      </c>
      <c r="D15" s="125" t="str">
        <f t="shared" si="1"/>
        <v>1h</v>
      </c>
      <c r="E15" s="46" t="s">
        <v>274</v>
      </c>
      <c r="F15" s="259"/>
      <c r="G15" s="258"/>
      <c r="H15" s="151"/>
    </row>
    <row r="16" spans="2:8" s="43" customFormat="1" x14ac:dyDescent="0.3">
      <c r="B16" s="44" t="s">
        <v>32</v>
      </c>
      <c r="C16" s="45">
        <v>2</v>
      </c>
      <c r="D16" s="125" t="str">
        <f t="shared" ref="D16" si="2" xml:space="preserve"> IF(C16="","",setValueToTime(C16))</f>
        <v xml:space="preserve"> 10 min</v>
      </c>
      <c r="E16" s="46" t="s">
        <v>161</v>
      </c>
      <c r="F16" s="259"/>
      <c r="G16" s="258"/>
      <c r="H16" s="151"/>
    </row>
    <row r="17" spans="2:8" s="43" customFormat="1" x14ac:dyDescent="0.3">
      <c r="B17" s="44" t="s">
        <v>32</v>
      </c>
      <c r="C17" s="45">
        <v>8</v>
      </c>
      <c r="D17" s="125" t="str">
        <f t="shared" si="1"/>
        <v xml:space="preserve"> 40 min</v>
      </c>
      <c r="E17" s="46" t="s">
        <v>276</v>
      </c>
      <c r="F17" s="259"/>
      <c r="G17" s="258"/>
      <c r="H17" s="151"/>
    </row>
    <row r="18" spans="2:8" s="43" customFormat="1" ht="27.75" thickBot="1" x14ac:dyDescent="0.35">
      <c r="B18" s="47" t="s">
        <v>31</v>
      </c>
      <c r="C18" s="47">
        <v>2</v>
      </c>
      <c r="D18" s="127" t="str">
        <f t="shared" si="1"/>
        <v xml:space="preserve"> 10 min</v>
      </c>
      <c r="E18" s="48" t="s">
        <v>154</v>
      </c>
      <c r="F18" s="260"/>
      <c r="G18" s="261"/>
      <c r="H18" s="151"/>
    </row>
    <row r="19" spans="2:8" s="43" customFormat="1" ht="15" thickBot="1" x14ac:dyDescent="0.35">
      <c r="B19" s="134" t="s">
        <v>44</v>
      </c>
      <c r="C19" s="66">
        <f>SUM(C13:C18)</f>
        <v>48</v>
      </c>
      <c r="D19" s="134" t="str">
        <f xml:space="preserve"> setValueToTime(C19)</f>
        <v>4h</v>
      </c>
      <c r="E19" s="95"/>
      <c r="F19" s="251"/>
      <c r="G19" s="252"/>
      <c r="H19" s="151"/>
    </row>
    <row r="20" spans="2:8" s="43" customFormat="1" ht="15" thickBot="1" x14ac:dyDescent="0.35">
      <c r="B20" s="60"/>
      <c r="C20" s="60"/>
      <c r="D20" s="60"/>
      <c r="E20" s="60"/>
      <c r="F20" s="60"/>
      <c r="G20" s="60"/>
      <c r="H20" s="151"/>
    </row>
    <row r="21" spans="2:8" s="39" customFormat="1" ht="30" customHeight="1" thickBot="1" x14ac:dyDescent="0.3">
      <c r="B21" s="128" t="s">
        <v>37</v>
      </c>
      <c r="C21" s="136">
        <v>18</v>
      </c>
      <c r="D21" s="136"/>
      <c r="E21" s="129" t="s">
        <v>38</v>
      </c>
      <c r="F21" s="130" t="s">
        <v>119</v>
      </c>
      <c r="G21" s="131" t="s">
        <v>66</v>
      </c>
      <c r="H21" s="150"/>
    </row>
    <row r="22" spans="2:8" s="39" customFormat="1" ht="30" customHeight="1" thickBot="1" x14ac:dyDescent="0.3">
      <c r="B22" s="61" t="s">
        <v>39</v>
      </c>
      <c r="C22" s="133" t="s">
        <v>40</v>
      </c>
      <c r="D22" s="132"/>
      <c r="E22" s="61" t="s">
        <v>41</v>
      </c>
      <c r="F22" s="253" t="s">
        <v>42</v>
      </c>
      <c r="G22" s="254"/>
      <c r="H22" s="150"/>
    </row>
    <row r="23" spans="2:8" s="43" customFormat="1" ht="54" x14ac:dyDescent="0.3">
      <c r="B23" s="40" t="s">
        <v>28</v>
      </c>
      <c r="C23" s="41">
        <v>12</v>
      </c>
      <c r="D23" s="124" t="str">
        <f xml:space="preserve"> IF(C23="","",setValueToTime(C23))</f>
        <v>1h</v>
      </c>
      <c r="E23" s="42" t="s">
        <v>271</v>
      </c>
      <c r="F23" s="255"/>
      <c r="G23" s="256"/>
      <c r="H23" s="151"/>
    </row>
    <row r="24" spans="2:8" s="43" customFormat="1" ht="27" x14ac:dyDescent="0.3">
      <c r="B24" s="44" t="s">
        <v>32</v>
      </c>
      <c r="C24" s="45">
        <v>12</v>
      </c>
      <c r="D24" s="125" t="str">
        <f t="shared" ref="D24:D26" si="3" xml:space="preserve"> IF(C24="","",setValueToTime(C24))</f>
        <v>1h</v>
      </c>
      <c r="E24" s="46" t="s">
        <v>269</v>
      </c>
      <c r="F24" s="259"/>
      <c r="G24" s="258"/>
      <c r="H24" s="151"/>
    </row>
    <row r="25" spans="2:8" s="43" customFormat="1" ht="27" x14ac:dyDescent="0.3">
      <c r="B25" s="44" t="s">
        <v>32</v>
      </c>
      <c r="C25" s="45">
        <v>11</v>
      </c>
      <c r="D25" s="125" t="str">
        <f t="shared" si="3"/>
        <v xml:space="preserve"> 55 min</v>
      </c>
      <c r="E25" s="46" t="s">
        <v>270</v>
      </c>
      <c r="F25" s="259"/>
      <c r="G25" s="258"/>
      <c r="H25" s="151"/>
    </row>
    <row r="26" spans="2:8" s="43" customFormat="1" ht="27.75" thickBot="1" x14ac:dyDescent="0.35">
      <c r="B26" s="47" t="s">
        <v>31</v>
      </c>
      <c r="C26" s="47">
        <v>3</v>
      </c>
      <c r="D26" s="127" t="str">
        <f t="shared" si="3"/>
        <v xml:space="preserve"> 15 min</v>
      </c>
      <c r="E26" s="48" t="s">
        <v>203</v>
      </c>
      <c r="F26" s="260"/>
      <c r="G26" s="261"/>
      <c r="H26" s="151"/>
    </row>
    <row r="27" spans="2:8" s="43" customFormat="1" ht="15" thickBot="1" x14ac:dyDescent="0.35">
      <c r="B27" s="134" t="s">
        <v>44</v>
      </c>
      <c r="C27" s="66">
        <f>SUM(C23:C26)</f>
        <v>38</v>
      </c>
      <c r="D27" s="134" t="str">
        <f xml:space="preserve"> setValueToTime(C27)</f>
        <v>3h 10 min</v>
      </c>
      <c r="E27" s="95"/>
      <c r="F27" s="251"/>
      <c r="G27" s="252"/>
      <c r="H27" s="151"/>
    </row>
    <row r="28" spans="2:8" s="43" customFormat="1" ht="15" thickBot="1" x14ac:dyDescent="0.35">
      <c r="B28" s="60"/>
      <c r="C28" s="60"/>
      <c r="D28" s="60"/>
      <c r="E28" s="60"/>
      <c r="F28" s="60"/>
      <c r="G28" s="60"/>
      <c r="H28" s="151"/>
    </row>
    <row r="29" spans="2:8" s="39" customFormat="1" ht="30" customHeight="1" thickBot="1" x14ac:dyDescent="0.3">
      <c r="B29" s="128" t="s">
        <v>37</v>
      </c>
      <c r="C29" s="136">
        <v>17</v>
      </c>
      <c r="D29" s="136"/>
      <c r="E29" s="129" t="s">
        <v>38</v>
      </c>
      <c r="F29" s="130" t="s">
        <v>121</v>
      </c>
      <c r="G29" s="131" t="s">
        <v>68</v>
      </c>
      <c r="H29" s="150"/>
    </row>
    <row r="30" spans="2:8" s="39" customFormat="1" ht="30" customHeight="1" thickBot="1" x14ac:dyDescent="0.3">
      <c r="B30" s="61" t="s">
        <v>39</v>
      </c>
      <c r="C30" s="133" t="s">
        <v>40</v>
      </c>
      <c r="D30" s="132"/>
      <c r="E30" s="61" t="s">
        <v>41</v>
      </c>
      <c r="F30" s="253" t="s">
        <v>42</v>
      </c>
      <c r="G30" s="254"/>
      <c r="H30" s="150"/>
    </row>
    <row r="31" spans="2:8" s="43" customFormat="1" x14ac:dyDescent="0.3">
      <c r="B31" s="40" t="s">
        <v>32</v>
      </c>
      <c r="C31" s="41">
        <v>3</v>
      </c>
      <c r="D31" s="124" t="str">
        <f xml:space="preserve"> IF(C31="","",setValueToTime(C31))</f>
        <v xml:space="preserve"> 15 min</v>
      </c>
      <c r="E31" s="182" t="s">
        <v>256</v>
      </c>
      <c r="F31" s="255"/>
      <c r="G31" s="256"/>
      <c r="H31" s="151"/>
    </row>
    <row r="32" spans="2:8" s="43" customFormat="1" ht="67.5" x14ac:dyDescent="0.3">
      <c r="B32" s="44" t="s">
        <v>28</v>
      </c>
      <c r="C32" s="45">
        <v>3</v>
      </c>
      <c r="D32" s="125" t="str">
        <f t="shared" ref="D32:D37" si="4" xml:space="preserve"> IF(C32="","",setValueToTime(C32))</f>
        <v xml:space="preserve"> 15 min</v>
      </c>
      <c r="E32" s="183" t="s">
        <v>265</v>
      </c>
      <c r="F32" s="259"/>
      <c r="G32" s="258"/>
      <c r="H32" s="151"/>
    </row>
    <row r="33" spans="2:8" s="43" customFormat="1" ht="27" x14ac:dyDescent="0.3">
      <c r="B33" s="44" t="s">
        <v>32</v>
      </c>
      <c r="C33" s="45">
        <v>12</v>
      </c>
      <c r="D33" s="125" t="str">
        <f t="shared" si="4"/>
        <v>1h</v>
      </c>
      <c r="E33" s="183" t="s">
        <v>257</v>
      </c>
      <c r="F33" s="259"/>
      <c r="G33" s="258"/>
      <c r="H33" s="151"/>
    </row>
    <row r="34" spans="2:8" s="43" customFormat="1" ht="40.5" x14ac:dyDescent="0.3">
      <c r="B34" s="44" t="s">
        <v>32</v>
      </c>
      <c r="C34" s="45">
        <v>5</v>
      </c>
      <c r="D34" s="125" t="str">
        <f t="shared" si="4"/>
        <v xml:space="preserve"> 25 min</v>
      </c>
      <c r="E34" s="183" t="s">
        <v>259</v>
      </c>
      <c r="F34" s="259"/>
      <c r="G34" s="258"/>
      <c r="H34" s="151"/>
    </row>
    <row r="35" spans="2:8" s="43" customFormat="1" ht="27" x14ac:dyDescent="0.3">
      <c r="B35" s="45" t="s">
        <v>50</v>
      </c>
      <c r="C35" s="45">
        <v>8</v>
      </c>
      <c r="D35" s="126" t="str">
        <f t="shared" ref="D35" si="5" xml:space="preserve"> IF(C35="","",setValueToTime(C35))</f>
        <v xml:space="preserve"> 40 min</v>
      </c>
      <c r="E35" s="183" t="s">
        <v>262</v>
      </c>
      <c r="F35" s="259"/>
      <c r="G35" s="258"/>
      <c r="H35" s="151"/>
    </row>
    <row r="36" spans="2:8" s="43" customFormat="1" x14ac:dyDescent="0.3">
      <c r="B36" s="45" t="s">
        <v>32</v>
      </c>
      <c r="C36" s="45">
        <v>2</v>
      </c>
      <c r="D36" s="126" t="str">
        <f t="shared" si="4"/>
        <v xml:space="preserve"> 10 min</v>
      </c>
      <c r="E36" s="183" t="s">
        <v>260</v>
      </c>
      <c r="F36" s="259"/>
      <c r="G36" s="258"/>
      <c r="H36" s="151"/>
    </row>
    <row r="37" spans="2:8" s="43" customFormat="1" ht="41.25" thickBot="1" x14ac:dyDescent="0.35">
      <c r="B37" s="47" t="s">
        <v>31</v>
      </c>
      <c r="C37" s="47">
        <v>5</v>
      </c>
      <c r="D37" s="127" t="str">
        <f t="shared" si="4"/>
        <v xml:space="preserve"> 25 min</v>
      </c>
      <c r="E37" s="185" t="s">
        <v>258</v>
      </c>
      <c r="F37" s="260"/>
      <c r="G37" s="261"/>
      <c r="H37" s="151"/>
    </row>
    <row r="38" spans="2:8" s="43" customFormat="1" ht="15" thickBot="1" x14ac:dyDescent="0.35">
      <c r="B38" s="134" t="s">
        <v>44</v>
      </c>
      <c r="C38" s="66">
        <f>SUM(C31:C37)</f>
        <v>38</v>
      </c>
      <c r="D38" s="134" t="str">
        <f xml:space="preserve"> setValueToTime(C38)</f>
        <v>3h 10 min</v>
      </c>
      <c r="E38" s="95"/>
      <c r="F38" s="251"/>
      <c r="G38" s="252"/>
      <c r="H38" s="151"/>
    </row>
    <row r="39" spans="2:8" s="43" customFormat="1" ht="15" thickBot="1" x14ac:dyDescent="0.35">
      <c r="B39" s="60"/>
      <c r="C39" s="60"/>
      <c r="D39" s="60"/>
      <c r="E39" s="60"/>
      <c r="F39" s="60"/>
      <c r="G39" s="60"/>
      <c r="H39" s="151"/>
    </row>
    <row r="40" spans="2:8" s="39" customFormat="1" ht="30" customHeight="1" thickBot="1" x14ac:dyDescent="0.3">
      <c r="B40" s="128" t="s">
        <v>37</v>
      </c>
      <c r="C40" s="136">
        <v>16</v>
      </c>
      <c r="D40" s="136"/>
      <c r="E40" s="129" t="s">
        <v>38</v>
      </c>
      <c r="F40" s="130" t="s">
        <v>121</v>
      </c>
      <c r="G40" s="131" t="s">
        <v>66</v>
      </c>
      <c r="H40" s="150"/>
    </row>
    <row r="41" spans="2:8" s="39" customFormat="1" ht="30" customHeight="1" thickBot="1" x14ac:dyDescent="0.3">
      <c r="B41" s="61" t="s">
        <v>39</v>
      </c>
      <c r="C41" s="133" t="s">
        <v>40</v>
      </c>
      <c r="D41" s="132"/>
      <c r="E41" s="61" t="s">
        <v>41</v>
      </c>
      <c r="F41" s="253" t="s">
        <v>42</v>
      </c>
      <c r="G41" s="254"/>
      <c r="H41" s="150"/>
    </row>
    <row r="42" spans="2:8" s="43" customFormat="1" ht="86.25" customHeight="1" x14ac:dyDescent="0.3">
      <c r="B42" s="40" t="s">
        <v>60</v>
      </c>
      <c r="C42" s="41">
        <v>12</v>
      </c>
      <c r="D42" s="124" t="str">
        <f xml:space="preserve"> IF(C42="","",setValueToTime(C42))</f>
        <v>1h</v>
      </c>
      <c r="E42" s="42" t="s">
        <v>266</v>
      </c>
      <c r="F42" s="262" t="s">
        <v>252</v>
      </c>
      <c r="G42" s="256"/>
      <c r="H42" s="151"/>
    </row>
    <row r="43" spans="2:8" s="43" customFormat="1" ht="40.5" x14ac:dyDescent="0.3">
      <c r="B43" s="44" t="s">
        <v>60</v>
      </c>
      <c r="C43" s="45">
        <v>8</v>
      </c>
      <c r="D43" s="125" t="str">
        <f t="shared" ref="D43:D46" si="6" xml:space="preserve"> IF(C43="","",setValueToTime(C43))</f>
        <v xml:space="preserve"> 40 min</v>
      </c>
      <c r="E43" s="183" t="s">
        <v>253</v>
      </c>
      <c r="F43" s="259"/>
      <c r="G43" s="258"/>
      <c r="H43" s="151"/>
    </row>
    <row r="44" spans="2:8" s="43" customFormat="1" ht="105.75" customHeight="1" x14ac:dyDescent="0.3">
      <c r="B44" s="44" t="s">
        <v>179</v>
      </c>
      <c r="C44" s="45">
        <v>12</v>
      </c>
      <c r="D44" s="125" t="str">
        <f t="shared" si="6"/>
        <v>1h</v>
      </c>
      <c r="E44" s="183" t="s">
        <v>263</v>
      </c>
      <c r="F44" s="257" t="s">
        <v>254</v>
      </c>
      <c r="G44" s="258"/>
      <c r="H44" s="151"/>
    </row>
    <row r="45" spans="2:8" s="43" customFormat="1" ht="40.5" x14ac:dyDescent="0.3">
      <c r="B45" s="44" t="s">
        <v>179</v>
      </c>
      <c r="C45" s="45">
        <v>2</v>
      </c>
      <c r="D45" s="125" t="str">
        <f t="shared" si="6"/>
        <v xml:space="preserve"> 10 min</v>
      </c>
      <c r="E45" s="183" t="s">
        <v>264</v>
      </c>
      <c r="F45" s="259"/>
      <c r="G45" s="258"/>
      <c r="H45" s="151"/>
    </row>
    <row r="46" spans="2:8" s="43" customFormat="1" ht="27.75" thickBot="1" x14ac:dyDescent="0.35">
      <c r="B46" s="47" t="s">
        <v>31</v>
      </c>
      <c r="C46" s="47">
        <v>4</v>
      </c>
      <c r="D46" s="127" t="str">
        <f t="shared" si="6"/>
        <v xml:space="preserve"> 20 min</v>
      </c>
      <c r="E46" s="185" t="s">
        <v>222</v>
      </c>
      <c r="F46" s="260"/>
      <c r="G46" s="261"/>
      <c r="H46" s="151"/>
    </row>
    <row r="47" spans="2:8" s="43" customFormat="1" ht="15" thickBot="1" x14ac:dyDescent="0.35">
      <c r="B47" s="134" t="s">
        <v>44</v>
      </c>
      <c r="C47" s="66">
        <f>SUM(C42:C46)</f>
        <v>38</v>
      </c>
      <c r="D47" s="134" t="str">
        <f xml:space="preserve"> setValueToTime(C47)</f>
        <v>3h 10 min</v>
      </c>
      <c r="E47" s="95"/>
      <c r="F47" s="251"/>
      <c r="G47" s="252"/>
      <c r="H47" s="151"/>
    </row>
    <row r="48" spans="2:8" s="43" customFormat="1" ht="15" thickBot="1" x14ac:dyDescent="0.35">
      <c r="B48" s="60"/>
      <c r="C48" s="60"/>
      <c r="D48" s="60"/>
      <c r="E48" s="60"/>
      <c r="F48" s="60"/>
      <c r="G48" s="60"/>
      <c r="H48" s="151"/>
    </row>
    <row r="49" spans="2:8" s="39" customFormat="1" ht="30" customHeight="1" thickBot="1" x14ac:dyDescent="0.3">
      <c r="B49" s="128" t="s">
        <v>37</v>
      </c>
      <c r="C49" s="136">
        <v>15</v>
      </c>
      <c r="D49" s="136"/>
      <c r="E49" s="129" t="s">
        <v>38</v>
      </c>
      <c r="F49" s="130" t="s">
        <v>124</v>
      </c>
      <c r="G49" s="131" t="s">
        <v>68</v>
      </c>
      <c r="H49" s="150"/>
    </row>
    <row r="50" spans="2:8" s="39" customFormat="1" ht="30" customHeight="1" thickBot="1" x14ac:dyDescent="0.3">
      <c r="B50" s="61" t="s">
        <v>39</v>
      </c>
      <c r="C50" s="133" t="s">
        <v>40</v>
      </c>
      <c r="D50" s="132"/>
      <c r="E50" s="61" t="s">
        <v>41</v>
      </c>
      <c r="F50" s="253" t="s">
        <v>42</v>
      </c>
      <c r="G50" s="254"/>
      <c r="H50" s="150"/>
    </row>
    <row r="51" spans="2:8" s="43" customFormat="1" ht="54" x14ac:dyDescent="0.3">
      <c r="B51" s="40" t="s">
        <v>33</v>
      </c>
      <c r="C51" s="41">
        <v>6</v>
      </c>
      <c r="D51" s="124" t="str">
        <f xml:space="preserve"> IF(C51="","",setValueToTime(C51))</f>
        <v xml:space="preserve"> 30 min</v>
      </c>
      <c r="E51" s="182" t="s">
        <v>268</v>
      </c>
      <c r="F51" s="255"/>
      <c r="G51" s="256"/>
      <c r="H51" s="151"/>
    </row>
    <row r="52" spans="2:8" s="43" customFormat="1" ht="27" x14ac:dyDescent="0.3">
      <c r="B52" s="44" t="s">
        <v>57</v>
      </c>
      <c r="C52" s="45">
        <v>7</v>
      </c>
      <c r="D52" s="125" t="str">
        <f t="shared" ref="D52:D55" si="7" xml:space="preserve"> IF(C52="","",setValueToTime(C52))</f>
        <v xml:space="preserve"> 35 min</v>
      </c>
      <c r="E52" s="46" t="s">
        <v>267</v>
      </c>
      <c r="F52" s="259"/>
      <c r="G52" s="258"/>
      <c r="H52" s="151"/>
    </row>
    <row r="53" spans="2:8" s="43" customFormat="1" ht="27" x14ac:dyDescent="0.3">
      <c r="B53" s="44" t="s">
        <v>55</v>
      </c>
      <c r="C53" s="45">
        <v>2</v>
      </c>
      <c r="D53" s="125" t="str">
        <f t="shared" si="7"/>
        <v xml:space="preserve"> 10 min</v>
      </c>
      <c r="E53" s="46" t="s">
        <v>249</v>
      </c>
      <c r="F53" s="259"/>
      <c r="G53" s="258"/>
      <c r="H53" s="151"/>
    </row>
    <row r="54" spans="2:8" s="43" customFormat="1" ht="57.75" customHeight="1" x14ac:dyDescent="0.3">
      <c r="B54" s="44" t="s">
        <v>58</v>
      </c>
      <c r="C54" s="45">
        <v>8</v>
      </c>
      <c r="D54" s="125" t="str">
        <f t="shared" si="7"/>
        <v xml:space="preserve"> 40 min</v>
      </c>
      <c r="E54" s="46" t="s">
        <v>251</v>
      </c>
      <c r="F54" s="257" t="s">
        <v>250</v>
      </c>
      <c r="G54" s="258"/>
      <c r="H54" s="151"/>
    </row>
    <row r="55" spans="2:8" s="43" customFormat="1" ht="27.75" thickBot="1" x14ac:dyDescent="0.35">
      <c r="B55" s="47" t="s">
        <v>31</v>
      </c>
      <c r="C55" s="47">
        <v>3</v>
      </c>
      <c r="D55" s="127" t="str">
        <f t="shared" si="7"/>
        <v xml:space="preserve"> 15 min</v>
      </c>
      <c r="E55" s="185" t="s">
        <v>242</v>
      </c>
      <c r="F55" s="260"/>
      <c r="G55" s="261"/>
      <c r="H55" s="151"/>
    </row>
    <row r="56" spans="2:8" s="43" customFormat="1" ht="15" thickBot="1" x14ac:dyDescent="0.35">
      <c r="B56" s="134" t="s">
        <v>44</v>
      </c>
      <c r="C56" s="66">
        <f>SUM(C51:C55)</f>
        <v>26</v>
      </c>
      <c r="D56" s="134" t="str">
        <f xml:space="preserve"> setValueToTime(C56)</f>
        <v>2h 10 min</v>
      </c>
      <c r="E56" s="95"/>
      <c r="F56" s="251"/>
      <c r="G56" s="252"/>
      <c r="H56" s="151"/>
    </row>
    <row r="57" spans="2:8" s="43" customFormat="1" ht="15" thickBot="1" x14ac:dyDescent="0.35">
      <c r="B57" s="60"/>
      <c r="C57" s="60"/>
      <c r="D57" s="60"/>
      <c r="E57" s="60"/>
      <c r="F57" s="60"/>
      <c r="G57" s="60"/>
      <c r="H57" s="151"/>
    </row>
    <row r="58" spans="2:8" s="39" customFormat="1" ht="30" customHeight="1" thickBot="1" x14ac:dyDescent="0.3">
      <c r="B58" s="128" t="s">
        <v>37</v>
      </c>
      <c r="C58" s="136">
        <v>14</v>
      </c>
      <c r="D58" s="136"/>
      <c r="E58" s="129" t="s">
        <v>38</v>
      </c>
      <c r="F58" s="130" t="s">
        <v>124</v>
      </c>
      <c r="G58" s="131" t="s">
        <v>66</v>
      </c>
      <c r="H58" s="150"/>
    </row>
    <row r="59" spans="2:8" s="39" customFormat="1" ht="30" customHeight="1" thickBot="1" x14ac:dyDescent="0.3">
      <c r="B59" s="61" t="s">
        <v>39</v>
      </c>
      <c r="C59" s="133" t="s">
        <v>40</v>
      </c>
      <c r="D59" s="132"/>
      <c r="E59" s="61" t="s">
        <v>41</v>
      </c>
      <c r="F59" s="253" t="s">
        <v>42</v>
      </c>
      <c r="G59" s="254"/>
      <c r="H59" s="150"/>
    </row>
    <row r="60" spans="2:8" s="43" customFormat="1" x14ac:dyDescent="0.3">
      <c r="B60" s="40" t="s">
        <v>28</v>
      </c>
      <c r="C60" s="41">
        <v>3</v>
      </c>
      <c r="D60" s="124" t="str">
        <f xml:space="preserve"> IF(C60="","",setValueToTime(C60))</f>
        <v xml:space="preserve"> 15 min</v>
      </c>
      <c r="E60" s="42" t="s">
        <v>243</v>
      </c>
      <c r="F60" s="255"/>
      <c r="G60" s="256"/>
      <c r="H60" s="151"/>
    </row>
    <row r="61" spans="2:8" s="43" customFormat="1" x14ac:dyDescent="0.3">
      <c r="B61" s="44" t="s">
        <v>28</v>
      </c>
      <c r="C61" s="45">
        <v>7</v>
      </c>
      <c r="D61" s="125" t="str">
        <f t="shared" ref="D61:D65" si="8" xml:space="preserve"> IF(C61="","",setValueToTime(C61))</f>
        <v xml:space="preserve"> 35 min</v>
      </c>
      <c r="E61" s="46" t="s">
        <v>244</v>
      </c>
      <c r="F61" s="259"/>
      <c r="G61" s="258"/>
      <c r="H61" s="151"/>
    </row>
    <row r="62" spans="2:8" s="43" customFormat="1" ht="40.5" x14ac:dyDescent="0.3">
      <c r="B62" s="44" t="s">
        <v>32</v>
      </c>
      <c r="C62" s="45">
        <v>12</v>
      </c>
      <c r="D62" s="125" t="str">
        <f t="shared" si="8"/>
        <v>1h</v>
      </c>
      <c r="E62" s="183" t="s">
        <v>245</v>
      </c>
      <c r="F62" s="259"/>
      <c r="G62" s="258"/>
      <c r="H62" s="151"/>
    </row>
    <row r="63" spans="2:8" s="43" customFormat="1" ht="40.5" x14ac:dyDescent="0.3">
      <c r="B63" s="44" t="s">
        <v>32</v>
      </c>
      <c r="C63" s="45">
        <v>12</v>
      </c>
      <c r="D63" s="125" t="str">
        <f t="shared" si="8"/>
        <v>1h</v>
      </c>
      <c r="E63" s="46" t="s">
        <v>246</v>
      </c>
      <c r="F63" s="257" t="s">
        <v>247</v>
      </c>
      <c r="G63" s="258"/>
      <c r="H63" s="151"/>
    </row>
    <row r="64" spans="2:8" s="43" customFormat="1" x14ac:dyDescent="0.3">
      <c r="B64" s="45" t="s">
        <v>32</v>
      </c>
      <c r="C64" s="45">
        <v>2</v>
      </c>
      <c r="D64" s="126" t="str">
        <f t="shared" si="8"/>
        <v xml:space="preserve"> 10 min</v>
      </c>
      <c r="E64" s="46" t="s">
        <v>248</v>
      </c>
      <c r="F64" s="259"/>
      <c r="G64" s="258"/>
      <c r="H64" s="151"/>
    </row>
    <row r="65" spans="2:8" s="43" customFormat="1" ht="27.75" thickBot="1" x14ac:dyDescent="0.35">
      <c r="B65" s="47" t="s">
        <v>31</v>
      </c>
      <c r="C65" s="47">
        <v>2</v>
      </c>
      <c r="D65" s="127" t="str">
        <f t="shared" si="8"/>
        <v xml:space="preserve"> 10 min</v>
      </c>
      <c r="E65" s="48" t="s">
        <v>222</v>
      </c>
      <c r="F65" s="260"/>
      <c r="G65" s="261"/>
      <c r="H65" s="151"/>
    </row>
    <row r="66" spans="2:8" s="43" customFormat="1" ht="15" thickBot="1" x14ac:dyDescent="0.35">
      <c r="B66" s="134" t="s">
        <v>44</v>
      </c>
      <c r="C66" s="66">
        <f>SUM(C60:C65)</f>
        <v>38</v>
      </c>
      <c r="D66" s="134" t="str">
        <f xml:space="preserve"> setValueToTime(C66)</f>
        <v>3h 10 min</v>
      </c>
      <c r="E66" s="95"/>
      <c r="F66" s="251"/>
      <c r="G66" s="252"/>
      <c r="H66" s="151"/>
    </row>
    <row r="67" spans="2:8" s="43" customFormat="1" ht="15" thickBot="1" x14ac:dyDescent="0.35">
      <c r="B67" s="60"/>
      <c r="C67" s="60"/>
      <c r="D67" s="60"/>
      <c r="E67" s="60"/>
      <c r="F67" s="60"/>
      <c r="G67" s="60"/>
      <c r="H67" s="151"/>
    </row>
    <row r="68" spans="2:8" s="39" customFormat="1" ht="30" customHeight="1" thickBot="1" x14ac:dyDescent="0.3">
      <c r="B68" s="128" t="s">
        <v>37</v>
      </c>
      <c r="C68" s="136">
        <v>13</v>
      </c>
      <c r="D68" s="136"/>
      <c r="E68" s="129" t="s">
        <v>38</v>
      </c>
      <c r="F68" s="130" t="s">
        <v>127</v>
      </c>
      <c r="G68" s="131" t="s">
        <v>68</v>
      </c>
      <c r="H68" s="150"/>
    </row>
    <row r="69" spans="2:8" s="39" customFormat="1" ht="30" customHeight="1" thickBot="1" x14ac:dyDescent="0.3">
      <c r="B69" s="61" t="s">
        <v>39</v>
      </c>
      <c r="C69" s="133" t="s">
        <v>40</v>
      </c>
      <c r="D69" s="132"/>
      <c r="E69" s="61" t="s">
        <v>41</v>
      </c>
      <c r="F69" s="253" t="s">
        <v>42</v>
      </c>
      <c r="G69" s="254"/>
      <c r="H69" s="150"/>
    </row>
    <row r="70" spans="2:8" s="43" customFormat="1" ht="40.5" x14ac:dyDescent="0.3">
      <c r="B70" s="40" t="s">
        <v>60</v>
      </c>
      <c r="C70" s="41">
        <v>3</v>
      </c>
      <c r="D70" s="124" t="str">
        <f xml:space="preserve"> IF(C70="","",setValueToTime(C70))</f>
        <v xml:space="preserve"> 15 min</v>
      </c>
      <c r="E70" s="42" t="s">
        <v>234</v>
      </c>
      <c r="F70" s="255"/>
      <c r="G70" s="256"/>
      <c r="H70" s="151"/>
    </row>
    <row r="71" spans="2:8" s="43" customFormat="1" x14ac:dyDescent="0.3">
      <c r="B71" s="44" t="s">
        <v>28</v>
      </c>
      <c r="C71" s="45">
        <v>2</v>
      </c>
      <c r="D71" s="125" t="str">
        <f t="shared" ref="D71:D77" si="9" xml:space="preserve"> IF(C71="","",setValueToTime(C71))</f>
        <v xml:space="preserve"> 10 min</v>
      </c>
      <c r="E71" s="46" t="s">
        <v>236</v>
      </c>
      <c r="F71" s="259"/>
      <c r="G71" s="258"/>
      <c r="H71" s="151"/>
    </row>
    <row r="72" spans="2:8" s="43" customFormat="1" ht="27" x14ac:dyDescent="0.3">
      <c r="B72" s="44" t="s">
        <v>32</v>
      </c>
      <c r="C72" s="45">
        <v>12</v>
      </c>
      <c r="D72" s="125" t="str">
        <f t="shared" si="9"/>
        <v>1h</v>
      </c>
      <c r="E72" s="46" t="s">
        <v>237</v>
      </c>
      <c r="F72" s="259"/>
      <c r="G72" s="258"/>
      <c r="H72" s="151"/>
    </row>
    <row r="73" spans="2:8" s="43" customFormat="1" x14ac:dyDescent="0.3">
      <c r="B73" s="44" t="s">
        <v>32</v>
      </c>
      <c r="C73" s="45">
        <v>2</v>
      </c>
      <c r="D73" s="125" t="str">
        <f t="shared" si="9"/>
        <v xml:space="preserve"> 10 min</v>
      </c>
      <c r="E73" s="46" t="s">
        <v>275</v>
      </c>
      <c r="F73" s="259"/>
      <c r="G73" s="258"/>
      <c r="H73" s="151"/>
    </row>
    <row r="74" spans="2:8" s="43" customFormat="1" ht="27" x14ac:dyDescent="0.3">
      <c r="B74" s="45" t="s">
        <v>57</v>
      </c>
      <c r="C74" s="45">
        <v>1</v>
      </c>
      <c r="D74" s="126" t="str">
        <f t="shared" si="9"/>
        <v xml:space="preserve"> 5 min</v>
      </c>
      <c r="E74" s="46" t="s">
        <v>238</v>
      </c>
      <c r="F74" s="259"/>
      <c r="G74" s="258"/>
      <c r="H74" s="151"/>
    </row>
    <row r="75" spans="2:8" s="43" customFormat="1" ht="40.5" x14ac:dyDescent="0.3">
      <c r="B75" s="45" t="s">
        <v>60</v>
      </c>
      <c r="C75" s="45">
        <v>3</v>
      </c>
      <c r="D75" s="126" t="str">
        <f t="shared" si="9"/>
        <v xml:space="preserve"> 15 min</v>
      </c>
      <c r="E75" s="46" t="s">
        <v>239</v>
      </c>
      <c r="F75" s="259"/>
      <c r="G75" s="258"/>
      <c r="H75" s="151"/>
    </row>
    <row r="76" spans="2:8" s="43" customFormat="1" x14ac:dyDescent="0.3">
      <c r="B76" s="45" t="s">
        <v>32</v>
      </c>
      <c r="C76" s="45">
        <v>10</v>
      </c>
      <c r="D76" s="126" t="str">
        <f xml:space="preserve"> IF(C76="","",setValueToTime(C76))</f>
        <v xml:space="preserve"> 50 min</v>
      </c>
      <c r="E76" s="46" t="s">
        <v>240</v>
      </c>
      <c r="F76" s="259"/>
      <c r="G76" s="258"/>
      <c r="H76" s="151"/>
    </row>
    <row r="77" spans="2:8" s="43" customFormat="1" ht="41.25" thickBot="1" x14ac:dyDescent="0.35">
      <c r="B77" s="47" t="s">
        <v>31</v>
      </c>
      <c r="C77" s="47">
        <v>5</v>
      </c>
      <c r="D77" s="127" t="str">
        <f t="shared" si="9"/>
        <v xml:space="preserve"> 25 min</v>
      </c>
      <c r="E77" s="48" t="s">
        <v>241</v>
      </c>
      <c r="F77" s="260"/>
      <c r="G77" s="261"/>
      <c r="H77" s="151"/>
    </row>
    <row r="78" spans="2:8" s="43" customFormat="1" ht="15" thickBot="1" x14ac:dyDescent="0.35">
      <c r="B78" s="134" t="s">
        <v>44</v>
      </c>
      <c r="C78" s="66">
        <f>SUM(C70:C77)</f>
        <v>38</v>
      </c>
      <c r="D78" s="134" t="str">
        <f xml:space="preserve"> setValueToTime(C78)</f>
        <v>3h 10 min</v>
      </c>
      <c r="E78" s="95"/>
      <c r="F78" s="251"/>
      <c r="G78" s="252"/>
      <c r="H78" s="151"/>
    </row>
    <row r="79" spans="2:8" s="43" customFormat="1" ht="15" thickBot="1" x14ac:dyDescent="0.35">
      <c r="B79" s="60"/>
      <c r="C79" s="60"/>
      <c r="D79" s="60"/>
      <c r="E79" s="60"/>
      <c r="F79" s="60"/>
      <c r="G79" s="60"/>
      <c r="H79" s="151"/>
    </row>
    <row r="80" spans="2:8" s="39" customFormat="1" ht="30" customHeight="1" thickBot="1" x14ac:dyDescent="0.3">
      <c r="B80" s="128" t="s">
        <v>37</v>
      </c>
      <c r="C80" s="136">
        <v>12</v>
      </c>
      <c r="D80" s="136"/>
      <c r="E80" s="129" t="s">
        <v>38</v>
      </c>
      <c r="F80" s="130" t="s">
        <v>127</v>
      </c>
      <c r="G80" s="131" t="s">
        <v>66</v>
      </c>
      <c r="H80" s="150"/>
    </row>
    <row r="81" spans="2:8" s="39" customFormat="1" ht="30" customHeight="1" thickBot="1" x14ac:dyDescent="0.3">
      <c r="B81" s="61" t="s">
        <v>39</v>
      </c>
      <c r="C81" s="133" t="s">
        <v>40</v>
      </c>
      <c r="D81" s="132"/>
      <c r="E81" s="61" t="s">
        <v>41</v>
      </c>
      <c r="F81" s="253" t="s">
        <v>42</v>
      </c>
      <c r="G81" s="254"/>
      <c r="H81" s="150"/>
    </row>
    <row r="82" spans="2:8" s="43" customFormat="1" ht="27" x14ac:dyDescent="0.3">
      <c r="B82" s="40" t="s">
        <v>56</v>
      </c>
      <c r="C82" s="41">
        <v>3</v>
      </c>
      <c r="D82" s="124" t="str">
        <f xml:space="preserve"> IF(C82="","",setValueToTime(C82))</f>
        <v xml:space="preserve"> 15 min</v>
      </c>
      <c r="E82" s="42" t="s">
        <v>229</v>
      </c>
      <c r="F82" s="255"/>
      <c r="G82" s="256"/>
      <c r="H82" s="151"/>
    </row>
    <row r="83" spans="2:8" s="43" customFormat="1" ht="40.5" x14ac:dyDescent="0.3">
      <c r="B83" s="44" t="s">
        <v>53</v>
      </c>
      <c r="C83" s="45">
        <v>1</v>
      </c>
      <c r="D83" s="125" t="str">
        <f t="shared" ref="D83:D90" si="10" xml:space="preserve"> IF(C83="","",setValueToTime(C83))</f>
        <v xml:space="preserve"> 5 min</v>
      </c>
      <c r="E83" s="46" t="s">
        <v>227</v>
      </c>
      <c r="F83" s="259"/>
      <c r="G83" s="258"/>
      <c r="H83" s="151"/>
    </row>
    <row r="84" spans="2:8" s="43" customFormat="1" ht="40.5" x14ac:dyDescent="0.3">
      <c r="B84" s="44" t="s">
        <v>60</v>
      </c>
      <c r="C84" s="45">
        <v>2</v>
      </c>
      <c r="D84" s="125" t="str">
        <f t="shared" si="10"/>
        <v xml:space="preserve"> 10 min</v>
      </c>
      <c r="E84" s="46" t="s">
        <v>228</v>
      </c>
      <c r="F84" s="259"/>
      <c r="G84" s="258"/>
      <c r="H84" s="151"/>
    </row>
    <row r="85" spans="2:8" s="43" customFormat="1" ht="123.75" customHeight="1" x14ac:dyDescent="0.3">
      <c r="B85" s="44" t="s">
        <v>56</v>
      </c>
      <c r="C85" s="45">
        <v>10</v>
      </c>
      <c r="D85" s="125" t="str">
        <f t="shared" si="10"/>
        <v xml:space="preserve"> 50 min</v>
      </c>
      <c r="E85" s="46" t="s">
        <v>230</v>
      </c>
      <c r="F85" s="257" t="s">
        <v>255</v>
      </c>
      <c r="G85" s="258"/>
      <c r="H85" s="151"/>
    </row>
    <row r="86" spans="2:8" s="43" customFormat="1" ht="54" customHeight="1" x14ac:dyDescent="0.3">
      <c r="B86" s="45" t="s">
        <v>60</v>
      </c>
      <c r="C86" s="45">
        <v>12</v>
      </c>
      <c r="D86" s="126" t="str">
        <f t="shared" si="10"/>
        <v>1h</v>
      </c>
      <c r="E86" s="46" t="s">
        <v>231</v>
      </c>
      <c r="F86" s="259"/>
      <c r="G86" s="258"/>
      <c r="H86" s="151"/>
    </row>
    <row r="87" spans="2:8" s="43" customFormat="1" ht="54" x14ac:dyDescent="0.3">
      <c r="B87" s="45" t="s">
        <v>60</v>
      </c>
      <c r="C87" s="45">
        <v>12</v>
      </c>
      <c r="D87" s="126" t="str">
        <f t="shared" si="10"/>
        <v>1h</v>
      </c>
      <c r="E87" s="46" t="s">
        <v>232</v>
      </c>
      <c r="F87" s="259"/>
      <c r="G87" s="258"/>
      <c r="H87" s="151"/>
    </row>
    <row r="88" spans="2:8" s="43" customFormat="1" ht="40.5" x14ac:dyDescent="0.3">
      <c r="B88" s="45" t="s">
        <v>59</v>
      </c>
      <c r="C88" s="45">
        <v>1</v>
      </c>
      <c r="D88" s="126" t="str">
        <f t="shared" ref="D88" si="11" xml:space="preserve"> IF(C88="","",setValueToTime(C88))</f>
        <v xml:space="preserve"> 5 min</v>
      </c>
      <c r="E88" s="46" t="s">
        <v>233</v>
      </c>
      <c r="F88" s="259"/>
      <c r="G88" s="258"/>
      <c r="H88" s="151"/>
    </row>
    <row r="89" spans="2:8" s="43" customFormat="1" ht="40.5" x14ac:dyDescent="0.3">
      <c r="B89" s="45" t="s">
        <v>60</v>
      </c>
      <c r="C89" s="45">
        <v>4</v>
      </c>
      <c r="D89" s="126" t="str">
        <f t="shared" si="10"/>
        <v xml:space="preserve"> 20 min</v>
      </c>
      <c r="E89" s="46" t="s">
        <v>235</v>
      </c>
      <c r="F89" s="259"/>
      <c r="G89" s="258"/>
      <c r="H89" s="151"/>
    </row>
    <row r="90" spans="2:8" s="43" customFormat="1" ht="27.75" thickBot="1" x14ac:dyDescent="0.35">
      <c r="B90" s="47" t="s">
        <v>31</v>
      </c>
      <c r="C90" s="47">
        <v>3</v>
      </c>
      <c r="D90" s="127" t="str">
        <f t="shared" si="10"/>
        <v xml:space="preserve"> 15 min</v>
      </c>
      <c r="E90" s="48" t="s">
        <v>222</v>
      </c>
      <c r="F90" s="260"/>
      <c r="G90" s="261"/>
      <c r="H90" s="151"/>
    </row>
    <row r="91" spans="2:8" s="43" customFormat="1" ht="15" thickBot="1" x14ac:dyDescent="0.35">
      <c r="B91" s="134" t="s">
        <v>44</v>
      </c>
      <c r="C91" s="66">
        <f>SUM(C82:C90)</f>
        <v>48</v>
      </c>
      <c r="D91" s="134" t="str">
        <f xml:space="preserve"> setValueToTime(C91)</f>
        <v>4h</v>
      </c>
      <c r="E91" s="95"/>
      <c r="F91" s="251"/>
      <c r="G91" s="252"/>
      <c r="H91" s="151"/>
    </row>
    <row r="92" spans="2:8" s="43" customFormat="1" ht="15" thickBot="1" x14ac:dyDescent="0.35">
      <c r="B92" s="60"/>
      <c r="C92" s="60"/>
      <c r="D92" s="60"/>
      <c r="E92" s="60"/>
      <c r="F92" s="60"/>
      <c r="G92" s="60"/>
      <c r="H92" s="151"/>
    </row>
    <row r="93" spans="2:8" s="39" customFormat="1" ht="30" customHeight="1" thickBot="1" x14ac:dyDescent="0.3">
      <c r="B93" s="128" t="s">
        <v>37</v>
      </c>
      <c r="C93" s="136">
        <v>11</v>
      </c>
      <c r="D93" s="136"/>
      <c r="E93" s="129" t="s">
        <v>38</v>
      </c>
      <c r="F93" s="130" t="s">
        <v>130</v>
      </c>
      <c r="G93" s="131" t="s">
        <v>68</v>
      </c>
      <c r="H93" s="150"/>
    </row>
    <row r="94" spans="2:8" s="39" customFormat="1" ht="30" customHeight="1" thickBot="1" x14ac:dyDescent="0.3">
      <c r="B94" s="61" t="s">
        <v>39</v>
      </c>
      <c r="C94" s="133" t="s">
        <v>40</v>
      </c>
      <c r="D94" s="132"/>
      <c r="E94" s="61" t="s">
        <v>41</v>
      </c>
      <c r="F94" s="253" t="s">
        <v>42</v>
      </c>
      <c r="G94" s="254"/>
      <c r="H94" s="150"/>
    </row>
    <row r="95" spans="2:8" s="43" customFormat="1" x14ac:dyDescent="0.3">
      <c r="B95" s="40" t="s">
        <v>28</v>
      </c>
      <c r="C95" s="41">
        <v>2</v>
      </c>
      <c r="D95" s="124" t="str">
        <f xml:space="preserve"> IF(C95="","",setValueToTime(C95))</f>
        <v xml:space="preserve"> 10 min</v>
      </c>
      <c r="E95" s="42" t="s">
        <v>221</v>
      </c>
      <c r="F95" s="255"/>
      <c r="G95" s="256"/>
      <c r="H95" s="151"/>
    </row>
    <row r="96" spans="2:8" s="43" customFormat="1" ht="40.5" x14ac:dyDescent="0.3">
      <c r="B96" s="44" t="s">
        <v>60</v>
      </c>
      <c r="C96" s="45">
        <v>12</v>
      </c>
      <c r="D96" s="125" t="str">
        <f t="shared" ref="D96:D99" si="12" xml:space="preserve"> IF(C96="","",setValueToTime(C96))</f>
        <v>1h</v>
      </c>
      <c r="E96" s="46" t="s">
        <v>224</v>
      </c>
      <c r="F96" s="257" t="s">
        <v>225</v>
      </c>
      <c r="G96" s="258"/>
      <c r="H96" s="151"/>
    </row>
    <row r="97" spans="2:8" s="43" customFormat="1" ht="40.5" x14ac:dyDescent="0.3">
      <c r="B97" s="44" t="s">
        <v>60</v>
      </c>
      <c r="C97" s="45">
        <v>12</v>
      </c>
      <c r="D97" s="125" t="str">
        <f t="shared" si="12"/>
        <v>1h</v>
      </c>
      <c r="E97" s="46" t="s">
        <v>223</v>
      </c>
      <c r="F97" s="259"/>
      <c r="G97" s="258"/>
      <c r="H97" s="151"/>
    </row>
    <row r="98" spans="2:8" s="43" customFormat="1" ht="40.5" x14ac:dyDescent="0.3">
      <c r="B98" s="44" t="s">
        <v>60</v>
      </c>
      <c r="C98" s="45">
        <v>9</v>
      </c>
      <c r="D98" s="125" t="str">
        <f t="shared" si="12"/>
        <v xml:space="preserve"> 45 min</v>
      </c>
      <c r="E98" s="46" t="s">
        <v>226</v>
      </c>
      <c r="F98" s="259"/>
      <c r="G98" s="258"/>
      <c r="H98" s="151"/>
    </row>
    <row r="99" spans="2:8" s="43" customFormat="1" ht="27.75" thickBot="1" x14ac:dyDescent="0.35">
      <c r="B99" s="47" t="s">
        <v>31</v>
      </c>
      <c r="C99" s="47">
        <v>3</v>
      </c>
      <c r="D99" s="127" t="str">
        <f t="shared" si="12"/>
        <v xml:space="preserve"> 15 min</v>
      </c>
      <c r="E99" s="48" t="s">
        <v>203</v>
      </c>
      <c r="F99" s="260"/>
      <c r="G99" s="261"/>
      <c r="H99" s="151"/>
    </row>
    <row r="100" spans="2:8" s="43" customFormat="1" ht="15" thickBot="1" x14ac:dyDescent="0.35">
      <c r="B100" s="134" t="s">
        <v>44</v>
      </c>
      <c r="C100" s="66">
        <f>SUM(C95:C99)</f>
        <v>38</v>
      </c>
      <c r="D100" s="134" t="str">
        <f xml:space="preserve"> setValueToTime(C100)</f>
        <v>3h 10 min</v>
      </c>
      <c r="E100" s="95"/>
      <c r="F100" s="251"/>
      <c r="G100" s="252"/>
      <c r="H100" s="151"/>
    </row>
    <row r="101" spans="2:8" s="43" customFormat="1" ht="15" thickBot="1" x14ac:dyDescent="0.35">
      <c r="B101" s="60"/>
      <c r="C101" s="60"/>
      <c r="D101" s="60"/>
      <c r="E101" s="60"/>
      <c r="F101" s="60"/>
      <c r="G101" s="60"/>
      <c r="H101" s="151"/>
    </row>
    <row r="102" spans="2:8" s="39" customFormat="1" ht="30" customHeight="1" thickBot="1" x14ac:dyDescent="0.3">
      <c r="B102" s="128" t="s">
        <v>37</v>
      </c>
      <c r="C102" s="136">
        <v>10</v>
      </c>
      <c r="D102" s="136"/>
      <c r="E102" s="129" t="s">
        <v>38</v>
      </c>
      <c r="F102" s="130" t="s">
        <v>130</v>
      </c>
      <c r="G102" s="131" t="s">
        <v>66</v>
      </c>
      <c r="H102" s="150"/>
    </row>
    <row r="103" spans="2:8" s="39" customFormat="1" ht="30" customHeight="1" thickBot="1" x14ac:dyDescent="0.3">
      <c r="B103" s="61" t="s">
        <v>39</v>
      </c>
      <c r="C103" s="133" t="s">
        <v>40</v>
      </c>
      <c r="D103" s="132"/>
      <c r="E103" s="61" t="s">
        <v>41</v>
      </c>
      <c r="F103" s="253" t="s">
        <v>42</v>
      </c>
      <c r="G103" s="254"/>
      <c r="H103" s="150"/>
    </row>
    <row r="104" spans="2:8" s="43" customFormat="1" ht="40.5" x14ac:dyDescent="0.3">
      <c r="B104" s="40" t="s">
        <v>59</v>
      </c>
      <c r="C104" s="41">
        <v>7</v>
      </c>
      <c r="D104" s="124" t="str">
        <f xml:space="preserve"> IF(C104="","",setValueToTime(C104))</f>
        <v xml:space="preserve"> 35 min</v>
      </c>
      <c r="E104" s="42" t="s">
        <v>213</v>
      </c>
      <c r="F104" s="255"/>
      <c r="G104" s="256"/>
      <c r="H104" s="151"/>
    </row>
    <row r="105" spans="2:8" s="43" customFormat="1" ht="67.5" customHeight="1" x14ac:dyDescent="0.3">
      <c r="B105" s="44" t="s">
        <v>58</v>
      </c>
      <c r="C105" s="45">
        <v>1</v>
      </c>
      <c r="D105" s="125" t="str">
        <f t="shared" ref="D105:D110" si="13" xml:space="preserve"> IF(C105="","",setValueToTime(C105))</f>
        <v xml:space="preserve"> 5 min</v>
      </c>
      <c r="E105" s="46" t="s">
        <v>214</v>
      </c>
      <c r="F105" s="257" t="s">
        <v>215</v>
      </c>
      <c r="G105" s="258"/>
      <c r="H105" s="151"/>
    </row>
    <row r="106" spans="2:8" s="43" customFormat="1" ht="84" customHeight="1" x14ac:dyDescent="0.3">
      <c r="B106" s="44" t="s">
        <v>60</v>
      </c>
      <c r="C106" s="45">
        <v>12</v>
      </c>
      <c r="D106" s="125" t="str">
        <f t="shared" si="13"/>
        <v>1h</v>
      </c>
      <c r="E106" s="183" t="s">
        <v>261</v>
      </c>
      <c r="F106" s="257" t="s">
        <v>216</v>
      </c>
      <c r="G106" s="258"/>
      <c r="H106" s="151"/>
    </row>
    <row r="107" spans="2:8" s="43" customFormat="1" ht="66" customHeight="1" x14ac:dyDescent="0.3">
      <c r="B107" s="44" t="s">
        <v>60</v>
      </c>
      <c r="C107" s="45">
        <v>12</v>
      </c>
      <c r="D107" s="125" t="str">
        <f t="shared" si="13"/>
        <v>1h</v>
      </c>
      <c r="E107" s="46" t="s">
        <v>218</v>
      </c>
      <c r="F107" s="257" t="s">
        <v>217</v>
      </c>
      <c r="G107" s="258"/>
      <c r="H107" s="151"/>
    </row>
    <row r="108" spans="2:8" s="43" customFormat="1" ht="40.5" x14ac:dyDescent="0.3">
      <c r="B108" s="45" t="s">
        <v>60</v>
      </c>
      <c r="C108" s="45">
        <v>7</v>
      </c>
      <c r="D108" s="126" t="str">
        <f t="shared" si="13"/>
        <v xml:space="preserve"> 35 min</v>
      </c>
      <c r="E108" s="46" t="s">
        <v>219</v>
      </c>
      <c r="F108" s="259"/>
      <c r="G108" s="258"/>
      <c r="H108" s="151"/>
    </row>
    <row r="109" spans="2:8" s="43" customFormat="1" ht="40.5" x14ac:dyDescent="0.3">
      <c r="B109" s="45" t="s">
        <v>58</v>
      </c>
      <c r="C109" s="45">
        <v>7</v>
      </c>
      <c r="D109" s="126" t="str">
        <f t="shared" si="13"/>
        <v xml:space="preserve"> 35 min</v>
      </c>
      <c r="E109" s="46" t="s">
        <v>220</v>
      </c>
      <c r="F109" s="259"/>
      <c r="G109" s="258"/>
      <c r="H109" s="151"/>
    </row>
    <row r="110" spans="2:8" s="43" customFormat="1" ht="27.75" thickBot="1" x14ac:dyDescent="0.35">
      <c r="B110" s="47" t="s">
        <v>31</v>
      </c>
      <c r="C110" s="47">
        <v>2</v>
      </c>
      <c r="D110" s="127" t="str">
        <f t="shared" si="13"/>
        <v xml:space="preserve"> 10 min</v>
      </c>
      <c r="E110" s="48" t="s">
        <v>222</v>
      </c>
      <c r="F110" s="260"/>
      <c r="G110" s="261"/>
      <c r="H110" s="151"/>
    </row>
    <row r="111" spans="2:8" s="43" customFormat="1" ht="15" thickBot="1" x14ac:dyDescent="0.35">
      <c r="B111" s="134" t="s">
        <v>44</v>
      </c>
      <c r="C111" s="66">
        <f>SUM(C104:C110)</f>
        <v>48</v>
      </c>
      <c r="D111" s="134" t="str">
        <f xml:space="preserve"> setValueToTime(C111)</f>
        <v>4h</v>
      </c>
      <c r="E111" s="95"/>
      <c r="F111" s="251"/>
      <c r="G111" s="252"/>
      <c r="H111" s="151"/>
    </row>
    <row r="112" spans="2:8" s="43" customFormat="1" ht="15" thickBot="1" x14ac:dyDescent="0.35">
      <c r="B112" s="60"/>
      <c r="C112" s="60"/>
      <c r="D112" s="60"/>
      <c r="E112" s="60"/>
      <c r="F112" s="60"/>
      <c r="G112" s="60"/>
      <c r="H112" s="151"/>
    </row>
    <row r="113" spans="2:8" s="39" customFormat="1" ht="30" customHeight="1" thickBot="1" x14ac:dyDescent="0.3">
      <c r="B113" s="128" t="s">
        <v>37</v>
      </c>
      <c r="C113" s="136">
        <v>9</v>
      </c>
      <c r="D113" s="136"/>
      <c r="E113" s="129" t="s">
        <v>38</v>
      </c>
      <c r="F113" s="130" t="s">
        <v>133</v>
      </c>
      <c r="G113" s="131" t="s">
        <v>66</v>
      </c>
      <c r="H113" s="150"/>
    </row>
    <row r="114" spans="2:8" s="39" customFormat="1" ht="30" customHeight="1" thickBot="1" x14ac:dyDescent="0.3">
      <c r="B114" s="61" t="s">
        <v>39</v>
      </c>
      <c r="C114" s="133" t="s">
        <v>40</v>
      </c>
      <c r="D114" s="132"/>
      <c r="E114" s="61" t="s">
        <v>41</v>
      </c>
      <c r="F114" s="253" t="s">
        <v>42</v>
      </c>
      <c r="G114" s="254"/>
      <c r="H114" s="150"/>
    </row>
    <row r="115" spans="2:8" s="43" customFormat="1" ht="27" x14ac:dyDescent="0.3">
      <c r="B115" s="40" t="s">
        <v>56</v>
      </c>
      <c r="C115" s="41">
        <v>8</v>
      </c>
      <c r="D115" s="124" t="str">
        <f xml:space="preserve"> IF(C115="","",setValueToTime(C115))</f>
        <v xml:space="preserve"> 40 min</v>
      </c>
      <c r="E115" s="42" t="s">
        <v>205</v>
      </c>
      <c r="F115" s="255"/>
      <c r="G115" s="256"/>
      <c r="H115" s="151"/>
    </row>
    <row r="116" spans="2:8" s="43" customFormat="1" x14ac:dyDescent="0.3">
      <c r="B116" s="44" t="s">
        <v>28</v>
      </c>
      <c r="C116" s="45">
        <v>3</v>
      </c>
      <c r="D116" s="125" t="str">
        <f t="shared" ref="D116:D121" si="14" xml:space="preserve"> IF(C116="","",setValueToTime(C116))</f>
        <v xml:space="preserve"> 15 min</v>
      </c>
      <c r="E116" s="46" t="s">
        <v>206</v>
      </c>
      <c r="F116" s="259"/>
      <c r="G116" s="258"/>
      <c r="H116" s="151"/>
    </row>
    <row r="117" spans="2:8" s="43" customFormat="1" ht="40.5" x14ac:dyDescent="0.3">
      <c r="B117" s="44" t="s">
        <v>53</v>
      </c>
      <c r="C117" s="45">
        <v>7</v>
      </c>
      <c r="D117" s="125" t="str">
        <f xml:space="preserve"> IF(C117="","",setValueToTime(C117))</f>
        <v xml:space="preserve"> 35 min</v>
      </c>
      <c r="E117" s="46" t="s">
        <v>207</v>
      </c>
      <c r="F117" s="259"/>
      <c r="G117" s="258"/>
      <c r="H117" s="151"/>
    </row>
    <row r="118" spans="2:8" s="43" customFormat="1" ht="54" x14ac:dyDescent="0.3">
      <c r="B118" s="44" t="s">
        <v>58</v>
      </c>
      <c r="C118" s="45">
        <v>10</v>
      </c>
      <c r="D118" s="125" t="str">
        <f t="shared" si="14"/>
        <v xml:space="preserve"> 50 min</v>
      </c>
      <c r="E118" s="46" t="s">
        <v>209</v>
      </c>
      <c r="F118" s="257" t="s">
        <v>208</v>
      </c>
      <c r="G118" s="258"/>
      <c r="H118" s="151"/>
    </row>
    <row r="119" spans="2:8" s="43" customFormat="1" ht="40.5" x14ac:dyDescent="0.3">
      <c r="B119" s="45" t="s">
        <v>57</v>
      </c>
      <c r="C119" s="45">
        <v>2</v>
      </c>
      <c r="D119" s="126" t="str">
        <f t="shared" si="14"/>
        <v xml:space="preserve"> 10 min</v>
      </c>
      <c r="E119" s="46" t="s">
        <v>210</v>
      </c>
      <c r="F119" s="259"/>
      <c r="G119" s="258"/>
      <c r="H119" s="151"/>
    </row>
    <row r="120" spans="2:8" s="43" customFormat="1" ht="52.5" customHeight="1" x14ac:dyDescent="0.3">
      <c r="B120" s="45" t="s">
        <v>60</v>
      </c>
      <c r="C120" s="45">
        <v>5</v>
      </c>
      <c r="D120" s="126" t="str">
        <f xml:space="preserve"> IF(C120="","",setValueToTime(C120))</f>
        <v xml:space="preserve"> 25 min</v>
      </c>
      <c r="E120" s="46" t="s">
        <v>211</v>
      </c>
      <c r="F120" s="257" t="s">
        <v>212</v>
      </c>
      <c r="G120" s="258"/>
      <c r="H120" s="151"/>
    </row>
    <row r="121" spans="2:8" s="43" customFormat="1" ht="27.75" thickBot="1" x14ac:dyDescent="0.35">
      <c r="B121" s="47" t="s">
        <v>31</v>
      </c>
      <c r="C121" s="47">
        <v>3</v>
      </c>
      <c r="D121" s="127" t="str">
        <f t="shared" si="14"/>
        <v xml:space="preserve"> 15 min</v>
      </c>
      <c r="E121" s="48" t="s">
        <v>203</v>
      </c>
      <c r="F121" s="260"/>
      <c r="G121" s="261"/>
      <c r="H121" s="151"/>
    </row>
    <row r="122" spans="2:8" s="43" customFormat="1" ht="15" thickBot="1" x14ac:dyDescent="0.35">
      <c r="B122" s="134" t="s">
        <v>44</v>
      </c>
      <c r="C122" s="66">
        <f>SUM(C115:C121)</f>
        <v>38</v>
      </c>
      <c r="D122" s="134" t="str">
        <f xml:space="preserve"> setValueToTime(C122)</f>
        <v>3h 10 min</v>
      </c>
      <c r="E122" s="95"/>
      <c r="F122" s="251"/>
      <c r="G122" s="252"/>
      <c r="H122" s="151"/>
    </row>
    <row r="123" spans="2:8" s="43" customFormat="1" ht="15" thickBot="1" x14ac:dyDescent="0.35">
      <c r="B123" s="60"/>
      <c r="C123" s="60"/>
      <c r="D123" s="60"/>
      <c r="E123" s="60"/>
      <c r="F123" s="60"/>
      <c r="G123" s="60"/>
      <c r="H123" s="151"/>
    </row>
    <row r="124" spans="2:8" s="39" customFormat="1" ht="30" customHeight="1" thickBot="1" x14ac:dyDescent="0.3">
      <c r="B124" s="128" t="s">
        <v>37</v>
      </c>
      <c r="C124" s="136">
        <v>8</v>
      </c>
      <c r="D124" s="136"/>
      <c r="E124" s="129" t="s">
        <v>38</v>
      </c>
      <c r="F124" s="130" t="s">
        <v>135</v>
      </c>
      <c r="G124" s="131" t="s">
        <v>68</v>
      </c>
      <c r="H124" s="150"/>
    </row>
    <row r="125" spans="2:8" s="39" customFormat="1" ht="30" customHeight="1" thickBot="1" x14ac:dyDescent="0.3">
      <c r="B125" s="61" t="s">
        <v>39</v>
      </c>
      <c r="C125" s="133" t="s">
        <v>40</v>
      </c>
      <c r="D125" s="132"/>
      <c r="E125" s="61" t="s">
        <v>41</v>
      </c>
      <c r="F125" s="253" t="s">
        <v>42</v>
      </c>
      <c r="G125" s="254"/>
      <c r="H125" s="150"/>
    </row>
    <row r="126" spans="2:8" s="43" customFormat="1" ht="54" x14ac:dyDescent="0.3">
      <c r="B126" s="40" t="s">
        <v>57</v>
      </c>
      <c r="C126" s="41">
        <v>12</v>
      </c>
      <c r="D126" s="124" t="str">
        <f xml:space="preserve"> IF(C126="","",setValueToTime(C126))</f>
        <v>1h</v>
      </c>
      <c r="E126" s="42" t="s">
        <v>198</v>
      </c>
      <c r="F126" s="262" t="s">
        <v>197</v>
      </c>
      <c r="G126" s="256"/>
      <c r="H126" s="151"/>
    </row>
    <row r="127" spans="2:8" s="43" customFormat="1" ht="27" x14ac:dyDescent="0.3">
      <c r="B127" s="44" t="s">
        <v>57</v>
      </c>
      <c r="C127" s="45">
        <v>6</v>
      </c>
      <c r="D127" s="125" t="str">
        <f t="shared" ref="D127:D130" si="15" xml:space="preserve"> IF(C127="","",setValueToTime(C127))</f>
        <v xml:space="preserve"> 30 min</v>
      </c>
      <c r="E127" s="46" t="s">
        <v>199</v>
      </c>
      <c r="F127" s="259"/>
      <c r="G127" s="258"/>
      <c r="H127" s="151"/>
    </row>
    <row r="128" spans="2:8" s="43" customFormat="1" ht="67.5" x14ac:dyDescent="0.3">
      <c r="B128" s="44" t="s">
        <v>58</v>
      </c>
      <c r="C128" s="45">
        <v>12</v>
      </c>
      <c r="D128" s="125" t="str">
        <f t="shared" si="15"/>
        <v>1h</v>
      </c>
      <c r="E128" s="46" t="s">
        <v>201</v>
      </c>
      <c r="F128" s="257" t="s">
        <v>200</v>
      </c>
      <c r="G128" s="258"/>
      <c r="H128" s="151"/>
    </row>
    <row r="129" spans="2:8" s="43" customFormat="1" ht="40.5" x14ac:dyDescent="0.3">
      <c r="B129" s="44" t="s">
        <v>58</v>
      </c>
      <c r="C129" s="45">
        <v>5</v>
      </c>
      <c r="D129" s="125" t="str">
        <f t="shared" si="15"/>
        <v xml:space="preserve"> 25 min</v>
      </c>
      <c r="E129" s="46" t="s">
        <v>202</v>
      </c>
      <c r="F129" s="259"/>
      <c r="G129" s="258"/>
      <c r="H129" s="151"/>
    </row>
    <row r="130" spans="2:8" s="43" customFormat="1" ht="27.75" thickBot="1" x14ac:dyDescent="0.35">
      <c r="B130" s="47" t="s">
        <v>31</v>
      </c>
      <c r="C130" s="47">
        <v>3</v>
      </c>
      <c r="D130" s="127" t="str">
        <f t="shared" si="15"/>
        <v xml:space="preserve"> 15 min</v>
      </c>
      <c r="E130" s="48" t="s">
        <v>203</v>
      </c>
      <c r="F130" s="260"/>
      <c r="G130" s="261"/>
      <c r="H130" s="151"/>
    </row>
    <row r="131" spans="2:8" s="43" customFormat="1" ht="15" thickBot="1" x14ac:dyDescent="0.35">
      <c r="B131" s="134" t="s">
        <v>44</v>
      </c>
      <c r="C131" s="66">
        <f>SUM(C126:C130)</f>
        <v>38</v>
      </c>
      <c r="D131" s="134" t="str">
        <f xml:space="preserve"> setValueToTime(C131)</f>
        <v>3h 10 min</v>
      </c>
      <c r="E131" s="95"/>
      <c r="F131" s="251"/>
      <c r="G131" s="252"/>
      <c r="H131" s="151"/>
    </row>
    <row r="132" spans="2:8" s="43" customFormat="1" ht="15" thickBot="1" x14ac:dyDescent="0.35">
      <c r="B132" s="60"/>
      <c r="C132" s="60"/>
      <c r="D132" s="60"/>
      <c r="E132" s="60"/>
      <c r="F132" s="60"/>
      <c r="G132" s="60"/>
      <c r="H132" s="151"/>
    </row>
    <row r="133" spans="2:8" s="39" customFormat="1" ht="30" customHeight="1" thickBot="1" x14ac:dyDescent="0.3">
      <c r="B133" s="128" t="s">
        <v>37</v>
      </c>
      <c r="C133" s="136">
        <v>7</v>
      </c>
      <c r="D133" s="136"/>
      <c r="E133" s="129" t="s">
        <v>38</v>
      </c>
      <c r="F133" s="130" t="s">
        <v>135</v>
      </c>
      <c r="G133" s="131" t="s">
        <v>66</v>
      </c>
      <c r="H133" s="150"/>
    </row>
    <row r="134" spans="2:8" s="39" customFormat="1" ht="30" customHeight="1" thickBot="1" x14ac:dyDescent="0.3">
      <c r="B134" s="61" t="s">
        <v>39</v>
      </c>
      <c r="C134" s="133" t="s">
        <v>40</v>
      </c>
      <c r="D134" s="132"/>
      <c r="E134" s="61" t="s">
        <v>41</v>
      </c>
      <c r="F134" s="253" t="s">
        <v>42</v>
      </c>
      <c r="G134" s="254"/>
      <c r="H134" s="150"/>
    </row>
    <row r="135" spans="2:8" s="43" customFormat="1" ht="40.5" x14ac:dyDescent="0.3">
      <c r="B135" s="40" t="s">
        <v>56</v>
      </c>
      <c r="C135" s="41">
        <v>12</v>
      </c>
      <c r="D135" s="124" t="str">
        <f xml:space="preserve"> IF(C135="","",setValueToTime(C135))</f>
        <v>1h</v>
      </c>
      <c r="E135" s="42" t="s">
        <v>190</v>
      </c>
      <c r="F135" s="255"/>
      <c r="G135" s="256"/>
      <c r="H135" s="151"/>
    </row>
    <row r="136" spans="2:8" s="43" customFormat="1" ht="40.5" x14ac:dyDescent="0.3">
      <c r="B136" s="44" t="s">
        <v>56</v>
      </c>
      <c r="C136" s="45">
        <v>3</v>
      </c>
      <c r="D136" s="125" t="str">
        <f t="shared" ref="D136:D140" si="16" xml:space="preserve"> IF(C136="","",setValueToTime(C136))</f>
        <v xml:space="preserve"> 15 min</v>
      </c>
      <c r="E136" s="46" t="s">
        <v>193</v>
      </c>
      <c r="F136" s="257" t="s">
        <v>192</v>
      </c>
      <c r="G136" s="258"/>
      <c r="H136" s="151"/>
    </row>
    <row r="137" spans="2:8" s="43" customFormat="1" ht="40.5" x14ac:dyDescent="0.3">
      <c r="B137" s="44" t="s">
        <v>179</v>
      </c>
      <c r="C137" s="45">
        <v>2</v>
      </c>
      <c r="D137" s="125" t="str">
        <f t="shared" ref="D137" si="17" xml:space="preserve"> IF(C137="","",setValueToTime(C137))</f>
        <v xml:space="preserve"> 10 min</v>
      </c>
      <c r="E137" s="46" t="s">
        <v>191</v>
      </c>
      <c r="F137" s="259"/>
      <c r="G137" s="258"/>
      <c r="H137" s="151"/>
    </row>
    <row r="138" spans="2:8" s="43" customFormat="1" ht="40.5" x14ac:dyDescent="0.3">
      <c r="B138" s="44" t="s">
        <v>33</v>
      </c>
      <c r="C138" s="45">
        <v>12</v>
      </c>
      <c r="D138" s="125" t="str">
        <f t="shared" si="16"/>
        <v>1h</v>
      </c>
      <c r="E138" s="183" t="s">
        <v>195</v>
      </c>
      <c r="F138" s="259"/>
      <c r="G138" s="258"/>
      <c r="H138" s="151"/>
    </row>
    <row r="139" spans="2:8" s="43" customFormat="1" ht="27" x14ac:dyDescent="0.3">
      <c r="B139" s="45" t="s">
        <v>33</v>
      </c>
      <c r="C139" s="45">
        <v>6</v>
      </c>
      <c r="D139" s="126" t="str">
        <f t="shared" si="16"/>
        <v xml:space="preserve"> 30 min</v>
      </c>
      <c r="E139" s="183" t="s">
        <v>196</v>
      </c>
      <c r="F139" s="259"/>
      <c r="G139" s="258"/>
      <c r="H139" s="151"/>
    </row>
    <row r="140" spans="2:8" s="43" customFormat="1" ht="27.75" thickBot="1" x14ac:dyDescent="0.35">
      <c r="B140" s="47" t="s">
        <v>31</v>
      </c>
      <c r="C140" s="47">
        <v>3</v>
      </c>
      <c r="D140" s="127" t="str">
        <f t="shared" si="16"/>
        <v xml:space="preserve"> 15 min</v>
      </c>
      <c r="E140" s="48" t="s">
        <v>204</v>
      </c>
      <c r="F140" s="260"/>
      <c r="G140" s="261"/>
      <c r="H140" s="151"/>
    </row>
    <row r="141" spans="2:8" s="43" customFormat="1" ht="15" thickBot="1" x14ac:dyDescent="0.35">
      <c r="B141" s="134" t="s">
        <v>44</v>
      </c>
      <c r="C141" s="66">
        <f>SUM(C135:C140)</f>
        <v>38</v>
      </c>
      <c r="D141" s="134" t="str">
        <f xml:space="preserve"> setValueToTime(C141)</f>
        <v>3h 10 min</v>
      </c>
      <c r="E141" s="95"/>
      <c r="F141" s="251"/>
      <c r="G141" s="252"/>
      <c r="H141" s="151"/>
    </row>
    <row r="142" spans="2:8" s="43" customFormat="1" ht="15" thickBot="1" x14ac:dyDescent="0.35">
      <c r="B142" s="60"/>
      <c r="C142" s="60"/>
      <c r="D142" s="60"/>
      <c r="E142" s="60"/>
      <c r="F142" s="60"/>
      <c r="G142" s="60"/>
      <c r="H142" s="151"/>
    </row>
    <row r="143" spans="2:8" s="39" customFormat="1" ht="30" customHeight="1" thickBot="1" x14ac:dyDescent="0.3">
      <c r="B143" s="128" t="s">
        <v>37</v>
      </c>
      <c r="C143" s="136">
        <v>6</v>
      </c>
      <c r="D143" s="136"/>
      <c r="E143" s="129" t="s">
        <v>38</v>
      </c>
      <c r="F143" s="130" t="s">
        <v>138</v>
      </c>
      <c r="G143" s="131" t="s">
        <v>68</v>
      </c>
      <c r="H143" s="150"/>
    </row>
    <row r="144" spans="2:8" s="39" customFormat="1" ht="30" customHeight="1" thickBot="1" x14ac:dyDescent="0.3">
      <c r="B144" s="61" t="s">
        <v>39</v>
      </c>
      <c r="C144" s="133" t="s">
        <v>40</v>
      </c>
      <c r="D144" s="132"/>
      <c r="E144" s="61" t="s">
        <v>41</v>
      </c>
      <c r="F144" s="253" t="s">
        <v>42</v>
      </c>
      <c r="G144" s="254"/>
      <c r="H144" s="150"/>
    </row>
    <row r="145" spans="2:8" s="43" customFormat="1" ht="27" x14ac:dyDescent="0.3">
      <c r="B145" s="40" t="s">
        <v>30</v>
      </c>
      <c r="C145" s="41">
        <v>9</v>
      </c>
      <c r="D145" s="124" t="str">
        <f xml:space="preserve"> IF(C145="","",setValueToTime(C145))</f>
        <v xml:space="preserve"> 45 min</v>
      </c>
      <c r="E145" s="42" t="s">
        <v>184</v>
      </c>
      <c r="F145" s="243"/>
      <c r="G145" s="244"/>
      <c r="H145" s="151"/>
    </row>
    <row r="146" spans="2:8" s="43" customFormat="1" ht="27" x14ac:dyDescent="0.3">
      <c r="B146" s="44" t="s">
        <v>49</v>
      </c>
      <c r="C146" s="45">
        <v>7</v>
      </c>
      <c r="D146" s="125" t="str">
        <f t="shared" ref="D146:D148" si="18" xml:space="preserve"> IF(C146="","",setValueToTime(C146))</f>
        <v xml:space="preserve"> 35 min</v>
      </c>
      <c r="E146" s="46" t="s">
        <v>188</v>
      </c>
      <c r="F146" s="245"/>
      <c r="G146" s="246"/>
      <c r="H146" s="151"/>
    </row>
    <row r="147" spans="2:8" s="43" customFormat="1" ht="27" x14ac:dyDescent="0.3">
      <c r="B147" s="44" t="s">
        <v>56</v>
      </c>
      <c r="C147" s="45">
        <v>6</v>
      </c>
      <c r="D147" s="125" t="str">
        <f t="shared" si="18"/>
        <v xml:space="preserve"> 30 min</v>
      </c>
      <c r="E147" s="46" t="s">
        <v>189</v>
      </c>
      <c r="F147" s="245"/>
      <c r="G147" s="246"/>
      <c r="H147" s="151"/>
    </row>
    <row r="148" spans="2:8" s="43" customFormat="1" ht="27.75" thickBot="1" x14ac:dyDescent="0.35">
      <c r="B148" s="47" t="s">
        <v>31</v>
      </c>
      <c r="C148" s="47">
        <v>4</v>
      </c>
      <c r="D148" s="127" t="str">
        <f t="shared" si="18"/>
        <v xml:space="preserve"> 20 min</v>
      </c>
      <c r="E148" s="48" t="s">
        <v>154</v>
      </c>
      <c r="F148" s="249"/>
      <c r="G148" s="250"/>
      <c r="H148" s="151"/>
    </row>
    <row r="149" spans="2:8" s="43" customFormat="1" ht="15" thickBot="1" x14ac:dyDescent="0.35">
      <c r="B149" s="134" t="s">
        <v>44</v>
      </c>
      <c r="C149" s="66">
        <f>SUM(C145:C148)</f>
        <v>26</v>
      </c>
      <c r="D149" s="134" t="str">
        <f xml:space="preserve"> setValueToTime(C149)</f>
        <v>2h 10 min</v>
      </c>
      <c r="E149" s="95"/>
      <c r="F149" s="251"/>
      <c r="G149" s="252"/>
      <c r="H149" s="151"/>
    </row>
    <row r="150" spans="2:8" s="43" customFormat="1" ht="15" thickBot="1" x14ac:dyDescent="0.35">
      <c r="B150" s="60"/>
      <c r="C150" s="60"/>
      <c r="D150" s="60"/>
      <c r="E150" s="60"/>
      <c r="F150" s="60"/>
      <c r="G150" s="60"/>
      <c r="H150" s="151"/>
    </row>
    <row r="151" spans="2:8" s="39" customFormat="1" ht="30" customHeight="1" thickBot="1" x14ac:dyDescent="0.3">
      <c r="B151" s="128" t="s">
        <v>37</v>
      </c>
      <c r="C151" s="136">
        <v>5</v>
      </c>
      <c r="D151" s="136"/>
      <c r="E151" s="129" t="s">
        <v>38</v>
      </c>
      <c r="F151" s="130" t="s">
        <v>138</v>
      </c>
      <c r="G151" s="131" t="s">
        <v>66</v>
      </c>
      <c r="H151" s="150"/>
    </row>
    <row r="152" spans="2:8" s="39" customFormat="1" ht="30" customHeight="1" thickBot="1" x14ac:dyDescent="0.3">
      <c r="B152" s="61" t="s">
        <v>39</v>
      </c>
      <c r="C152" s="133" t="s">
        <v>40</v>
      </c>
      <c r="D152" s="132"/>
      <c r="E152" s="61" t="s">
        <v>41</v>
      </c>
      <c r="F152" s="253" t="s">
        <v>42</v>
      </c>
      <c r="G152" s="254"/>
      <c r="H152" s="150"/>
    </row>
    <row r="153" spans="2:8" s="43" customFormat="1" ht="40.5" x14ac:dyDescent="0.3">
      <c r="B153" s="40" t="s">
        <v>53</v>
      </c>
      <c r="C153" s="41">
        <v>8</v>
      </c>
      <c r="D153" s="124" t="str">
        <f xml:space="preserve"> IF(C153="","",setValueToTime(C153))</f>
        <v xml:space="preserve"> 40 min</v>
      </c>
      <c r="E153" s="42" t="s">
        <v>171</v>
      </c>
      <c r="F153" s="262" t="s">
        <v>185</v>
      </c>
      <c r="G153" s="256"/>
      <c r="H153" s="151"/>
    </row>
    <row r="154" spans="2:8" s="43" customFormat="1" x14ac:dyDescent="0.3">
      <c r="B154" s="44" t="s">
        <v>28</v>
      </c>
      <c r="C154" s="45">
        <v>3</v>
      </c>
      <c r="D154" s="125" t="str">
        <f t="shared" ref="D154:D160" si="19" xml:space="preserve"> IF(C154="","",setValueToTime(C154))</f>
        <v xml:space="preserve"> 15 min</v>
      </c>
      <c r="E154" s="46" t="s">
        <v>172</v>
      </c>
      <c r="F154" s="259"/>
      <c r="G154" s="258"/>
      <c r="H154" s="151"/>
    </row>
    <row r="155" spans="2:8" s="43" customFormat="1" ht="27" x14ac:dyDescent="0.3">
      <c r="B155" s="44" t="s">
        <v>54</v>
      </c>
      <c r="C155" s="45">
        <v>1</v>
      </c>
      <c r="D155" s="125" t="str">
        <f t="shared" si="19"/>
        <v xml:space="preserve"> 5 min</v>
      </c>
      <c r="E155" s="46" t="s">
        <v>173</v>
      </c>
      <c r="F155" s="259"/>
      <c r="G155" s="258"/>
      <c r="H155" s="151"/>
    </row>
    <row r="156" spans="2:8" s="43" customFormat="1" ht="27" x14ac:dyDescent="0.3">
      <c r="B156" s="44" t="s">
        <v>55</v>
      </c>
      <c r="C156" s="45">
        <v>5</v>
      </c>
      <c r="D156" s="125" t="str">
        <f t="shared" si="19"/>
        <v xml:space="preserve"> 25 min</v>
      </c>
      <c r="E156" s="46" t="s">
        <v>175</v>
      </c>
      <c r="F156" s="257" t="s">
        <v>176</v>
      </c>
      <c r="G156" s="258"/>
      <c r="H156" s="151"/>
    </row>
    <row r="157" spans="2:8" s="43" customFormat="1" ht="27" x14ac:dyDescent="0.3">
      <c r="B157" s="45" t="s">
        <v>49</v>
      </c>
      <c r="C157" s="45">
        <v>2</v>
      </c>
      <c r="D157" s="126" t="str">
        <f t="shared" si="19"/>
        <v xml:space="preserve"> 10 min</v>
      </c>
      <c r="E157" s="46" t="s">
        <v>186</v>
      </c>
      <c r="F157" s="257" t="s">
        <v>187</v>
      </c>
      <c r="G157" s="258"/>
      <c r="H157" s="151"/>
    </row>
    <row r="158" spans="2:8" s="43" customFormat="1" ht="27" x14ac:dyDescent="0.3">
      <c r="B158" s="45" t="s">
        <v>30</v>
      </c>
      <c r="C158" s="45">
        <v>12</v>
      </c>
      <c r="D158" s="126" t="str">
        <f t="shared" ref="D158" si="20" xml:space="preserve"> IF(C158="","",setValueToTime(C158))</f>
        <v>1h</v>
      </c>
      <c r="E158" s="46" t="s">
        <v>177</v>
      </c>
      <c r="F158" s="257" t="s">
        <v>180</v>
      </c>
      <c r="G158" s="258"/>
      <c r="H158" s="151"/>
    </row>
    <row r="159" spans="2:8" s="43" customFormat="1" ht="27" x14ac:dyDescent="0.3">
      <c r="B159" s="45" t="s">
        <v>30</v>
      </c>
      <c r="C159" s="45">
        <v>4</v>
      </c>
      <c r="D159" s="126" t="str">
        <f t="shared" si="19"/>
        <v xml:space="preserve"> 20 min</v>
      </c>
      <c r="E159" s="46" t="s">
        <v>181</v>
      </c>
      <c r="F159" s="259"/>
      <c r="G159" s="258"/>
      <c r="H159" s="151"/>
    </row>
    <row r="160" spans="2:8" s="43" customFormat="1" ht="27.75" thickBot="1" x14ac:dyDescent="0.35">
      <c r="B160" s="47" t="s">
        <v>31</v>
      </c>
      <c r="C160" s="47">
        <v>3</v>
      </c>
      <c r="D160" s="127" t="str">
        <f t="shared" si="19"/>
        <v xml:space="preserve"> 15 min</v>
      </c>
      <c r="E160" s="48" t="s">
        <v>154</v>
      </c>
      <c r="F160" s="260"/>
      <c r="G160" s="261"/>
      <c r="H160" s="151"/>
    </row>
    <row r="161" spans="2:8" s="43" customFormat="1" ht="15" thickBot="1" x14ac:dyDescent="0.35">
      <c r="B161" s="134" t="s">
        <v>44</v>
      </c>
      <c r="C161" s="66">
        <f>SUM(C153:C160)</f>
        <v>38</v>
      </c>
      <c r="D161" s="134" t="str">
        <f xml:space="preserve"> setValueToTime(C161)</f>
        <v>3h 10 min</v>
      </c>
      <c r="E161" s="95"/>
      <c r="F161" s="251"/>
      <c r="G161" s="252"/>
      <c r="H161" s="151"/>
    </row>
    <row r="162" spans="2:8" s="43" customFormat="1" ht="15" thickBot="1" x14ac:dyDescent="0.35">
      <c r="B162" s="60"/>
      <c r="C162" s="60"/>
      <c r="D162" s="60"/>
      <c r="E162" s="60"/>
      <c r="F162" s="60"/>
      <c r="G162" s="60"/>
      <c r="H162" s="151"/>
    </row>
    <row r="163" spans="2:8" s="39" customFormat="1" ht="30" customHeight="1" thickBot="1" x14ac:dyDescent="0.3">
      <c r="B163" s="128" t="s">
        <v>37</v>
      </c>
      <c r="C163" s="136">
        <v>4</v>
      </c>
      <c r="D163" s="136"/>
      <c r="E163" s="129" t="s">
        <v>38</v>
      </c>
      <c r="F163" s="130" t="s">
        <v>141</v>
      </c>
      <c r="G163" s="131" t="s">
        <v>68</v>
      </c>
      <c r="H163" s="150"/>
    </row>
    <row r="164" spans="2:8" s="39" customFormat="1" ht="30" customHeight="1" thickBot="1" x14ac:dyDescent="0.3">
      <c r="B164" s="61" t="s">
        <v>39</v>
      </c>
      <c r="C164" s="133" t="s">
        <v>40</v>
      </c>
      <c r="D164" s="132"/>
      <c r="E164" s="61" t="s">
        <v>41</v>
      </c>
      <c r="F164" s="253" t="s">
        <v>42</v>
      </c>
      <c r="G164" s="254"/>
      <c r="H164" s="150"/>
    </row>
    <row r="165" spans="2:8" s="43" customFormat="1" ht="27" x14ac:dyDescent="0.3">
      <c r="B165" s="40" t="s">
        <v>52</v>
      </c>
      <c r="C165" s="41">
        <v>12</v>
      </c>
      <c r="D165" s="124" t="str">
        <f xml:space="preserve"> IF(C165="","",setValueToTime(C165))</f>
        <v>1h</v>
      </c>
      <c r="E165" s="42" t="s">
        <v>155</v>
      </c>
      <c r="F165" s="262" t="s">
        <v>157</v>
      </c>
      <c r="G165" s="256"/>
      <c r="H165" s="151"/>
    </row>
    <row r="166" spans="2:8" s="43" customFormat="1" ht="27" x14ac:dyDescent="0.3">
      <c r="B166" s="44" t="s">
        <v>52</v>
      </c>
      <c r="C166" s="45">
        <v>12</v>
      </c>
      <c r="D166" s="125" t="str">
        <f t="shared" ref="D166:D171" si="21" xml:space="preserve"> IF(C166="","",setValueToTime(C166))</f>
        <v>1h</v>
      </c>
      <c r="E166" s="46" t="s">
        <v>160</v>
      </c>
      <c r="F166" s="257" t="s">
        <v>158</v>
      </c>
      <c r="G166" s="258"/>
      <c r="H166" s="151"/>
    </row>
    <row r="167" spans="2:8" s="43" customFormat="1" ht="27" x14ac:dyDescent="0.3">
      <c r="B167" s="44" t="s">
        <v>52</v>
      </c>
      <c r="C167" s="45">
        <v>4</v>
      </c>
      <c r="D167" s="125" t="str">
        <f t="shared" ref="D167" si="22" xml:space="preserve"> IF(C167="","",setValueToTime(C167))</f>
        <v xml:space="preserve"> 20 min</v>
      </c>
      <c r="E167" s="46" t="s">
        <v>167</v>
      </c>
      <c r="F167" s="257" t="s">
        <v>169</v>
      </c>
      <c r="G167" s="258"/>
      <c r="H167" s="151"/>
    </row>
    <row r="168" spans="2:8" s="43" customFormat="1" x14ac:dyDescent="0.3">
      <c r="B168" s="44" t="s">
        <v>28</v>
      </c>
      <c r="C168" s="45">
        <v>2</v>
      </c>
      <c r="D168" s="125" t="str">
        <f t="shared" si="21"/>
        <v xml:space="preserve"> 10 min</v>
      </c>
      <c r="E168" s="46" t="s">
        <v>161</v>
      </c>
      <c r="F168" s="259"/>
      <c r="G168" s="258"/>
      <c r="H168" s="151"/>
    </row>
    <row r="169" spans="2:8" s="43" customFormat="1" ht="40.5" x14ac:dyDescent="0.3">
      <c r="B169" s="45" t="s">
        <v>52</v>
      </c>
      <c r="C169" s="45">
        <v>4</v>
      </c>
      <c r="D169" s="126" t="str">
        <f xml:space="preserve"> IF(C169="","",setValueToTime(C169))</f>
        <v xml:space="preserve"> 20 min</v>
      </c>
      <c r="E169" s="46" t="s">
        <v>170</v>
      </c>
      <c r="F169" s="259"/>
      <c r="G169" s="258"/>
      <c r="H169" s="151"/>
    </row>
    <row r="170" spans="2:8" s="43" customFormat="1" ht="27" x14ac:dyDescent="0.3">
      <c r="B170" s="45" t="s">
        <v>54</v>
      </c>
      <c r="C170" s="45">
        <v>1</v>
      </c>
      <c r="D170" s="126" t="str">
        <f xml:space="preserve"> IF(C170="","",setValueToTime(C170))</f>
        <v xml:space="preserve"> 5 min</v>
      </c>
      <c r="E170" s="46" t="s">
        <v>174</v>
      </c>
      <c r="F170" s="259"/>
      <c r="G170" s="258"/>
      <c r="H170" s="151"/>
    </row>
    <row r="171" spans="2:8" s="43" customFormat="1" ht="27.75" thickBot="1" x14ac:dyDescent="0.35">
      <c r="B171" s="47" t="s">
        <v>31</v>
      </c>
      <c r="C171" s="47">
        <v>3</v>
      </c>
      <c r="D171" s="127" t="str">
        <f t="shared" si="21"/>
        <v xml:space="preserve"> 15 min</v>
      </c>
      <c r="E171" s="48" t="s">
        <v>168</v>
      </c>
      <c r="F171" s="260"/>
      <c r="G171" s="261"/>
      <c r="H171" s="151"/>
    </row>
    <row r="172" spans="2:8" s="43" customFormat="1" ht="15" thickBot="1" x14ac:dyDescent="0.35">
      <c r="B172" s="134" t="s">
        <v>44</v>
      </c>
      <c r="C172" s="66">
        <f>SUM(C165:C171)</f>
        <v>38</v>
      </c>
      <c r="D172" s="134" t="str">
        <f xml:space="preserve"> setValueToTime(C172)</f>
        <v>3h 10 min</v>
      </c>
      <c r="E172" s="95"/>
      <c r="F172" s="251"/>
      <c r="G172" s="252"/>
      <c r="H172" s="151"/>
    </row>
    <row r="173" spans="2:8" s="43" customFormat="1" ht="15" thickBot="1" x14ac:dyDescent="0.35">
      <c r="B173" s="60"/>
      <c r="C173" s="60"/>
      <c r="D173" s="60"/>
      <c r="E173" s="60"/>
      <c r="F173" s="60"/>
      <c r="G173" s="60"/>
      <c r="H173" s="151"/>
    </row>
    <row r="174" spans="2:8" s="39" customFormat="1" ht="30" customHeight="1" thickBot="1" x14ac:dyDescent="0.3">
      <c r="B174" s="128" t="s">
        <v>37</v>
      </c>
      <c r="C174" s="136">
        <v>3</v>
      </c>
      <c r="D174" s="136"/>
      <c r="E174" s="129" t="s">
        <v>38</v>
      </c>
      <c r="F174" s="130" t="s">
        <v>141</v>
      </c>
      <c r="G174" s="131" t="s">
        <v>66</v>
      </c>
      <c r="H174" s="150"/>
    </row>
    <row r="175" spans="2:8" s="39" customFormat="1" ht="30" customHeight="1" thickBot="1" x14ac:dyDescent="0.3">
      <c r="B175" s="61" t="s">
        <v>39</v>
      </c>
      <c r="C175" s="133" t="s">
        <v>40</v>
      </c>
      <c r="D175" s="132"/>
      <c r="E175" s="61" t="s">
        <v>41</v>
      </c>
      <c r="F175" s="253" t="s">
        <v>42</v>
      </c>
      <c r="G175" s="254"/>
      <c r="H175" s="150"/>
    </row>
    <row r="176" spans="2:8" s="43" customFormat="1" ht="27" x14ac:dyDescent="0.3">
      <c r="B176" s="40" t="s">
        <v>48</v>
      </c>
      <c r="C176" s="41">
        <v>6</v>
      </c>
      <c r="D176" s="124" t="str">
        <f xml:space="preserve"> IF(C176="","",setValueToTime(C176))</f>
        <v xml:space="preserve"> 30 min</v>
      </c>
      <c r="E176" s="42" t="s">
        <v>146</v>
      </c>
      <c r="F176" s="255"/>
      <c r="G176" s="256"/>
      <c r="H176" s="151"/>
    </row>
    <row r="177" spans="2:8" s="43" customFormat="1" ht="231.75" customHeight="1" x14ac:dyDescent="0.3">
      <c r="B177" s="44" t="s">
        <v>47</v>
      </c>
      <c r="C177" s="45">
        <v>9</v>
      </c>
      <c r="D177" s="125" t="str">
        <f t="shared" ref="D177:D184" si="23" xml:space="preserve"> IF(C177="","",setValueToTime(C177))</f>
        <v xml:space="preserve"> 45 min</v>
      </c>
      <c r="E177" s="46" t="s">
        <v>147</v>
      </c>
      <c r="F177" s="257" t="s">
        <v>194</v>
      </c>
      <c r="G177" s="258"/>
      <c r="H177" s="151"/>
    </row>
    <row r="178" spans="2:8" s="43" customFormat="1" ht="27" x14ac:dyDescent="0.3">
      <c r="B178" s="44" t="s">
        <v>52</v>
      </c>
      <c r="C178" s="45">
        <v>12</v>
      </c>
      <c r="D178" s="125" t="str">
        <f xml:space="preserve"> IF(C178="","",setValueToTime(C178))</f>
        <v>1h</v>
      </c>
      <c r="E178" s="200" t="s">
        <v>148</v>
      </c>
      <c r="F178" s="257" t="s">
        <v>156</v>
      </c>
      <c r="G178" s="258"/>
      <c r="H178" s="151"/>
    </row>
    <row r="179" spans="2:8" s="43" customFormat="1" ht="27" x14ac:dyDescent="0.3">
      <c r="B179" s="44" t="s">
        <v>52</v>
      </c>
      <c r="C179" s="45">
        <v>6</v>
      </c>
      <c r="D179" s="125" t="str">
        <f t="shared" si="23"/>
        <v xml:space="preserve"> 30 min</v>
      </c>
      <c r="E179" s="46" t="s">
        <v>152</v>
      </c>
      <c r="F179" s="259"/>
      <c r="G179" s="258"/>
      <c r="H179" s="151"/>
    </row>
    <row r="180" spans="2:8" s="43" customFormat="1" x14ac:dyDescent="0.3">
      <c r="B180" s="45" t="s">
        <v>28</v>
      </c>
      <c r="C180" s="45">
        <v>2</v>
      </c>
      <c r="D180" s="126" t="str">
        <f xml:space="preserve"> IF(C180="","",setValueToTime(C180))</f>
        <v xml:space="preserve"> 10 min</v>
      </c>
      <c r="E180" s="46" t="s">
        <v>149</v>
      </c>
      <c r="F180" s="259"/>
      <c r="G180" s="258"/>
      <c r="H180" s="151"/>
    </row>
    <row r="181" spans="2:8" s="43" customFormat="1" ht="40.5" x14ac:dyDescent="0.3">
      <c r="B181" s="45" t="s">
        <v>53</v>
      </c>
      <c r="C181" s="45">
        <v>1</v>
      </c>
      <c r="D181" s="126" t="str">
        <f t="shared" si="23"/>
        <v xml:space="preserve"> 5 min</v>
      </c>
      <c r="E181" s="46" t="s">
        <v>150</v>
      </c>
      <c r="F181" s="259"/>
      <c r="G181" s="258"/>
      <c r="H181" s="151"/>
    </row>
    <row r="182" spans="2:8" s="43" customFormat="1" ht="27" x14ac:dyDescent="0.3">
      <c r="B182" s="45" t="s">
        <v>55</v>
      </c>
      <c r="C182" s="45">
        <v>1</v>
      </c>
      <c r="D182" s="126" t="str">
        <f t="shared" ref="D182" si="24" xml:space="preserve"> IF(C182="","",setValueToTime(C182))</f>
        <v xml:space="preserve"> 5 min</v>
      </c>
      <c r="E182" s="46" t="s">
        <v>151</v>
      </c>
      <c r="F182" s="259"/>
      <c r="G182" s="258"/>
      <c r="H182" s="151"/>
    </row>
    <row r="183" spans="2:8" s="43" customFormat="1" ht="40.5" x14ac:dyDescent="0.3">
      <c r="B183" s="45" t="s">
        <v>52</v>
      </c>
      <c r="C183" s="45">
        <v>6</v>
      </c>
      <c r="D183" s="126" t="str">
        <f xml:space="preserve"> IF(C183="","",setValueToTime(C183))</f>
        <v xml:space="preserve"> 30 min</v>
      </c>
      <c r="E183" s="46" t="s">
        <v>159</v>
      </c>
      <c r="F183" s="257" t="s">
        <v>153</v>
      </c>
      <c r="G183" s="258"/>
      <c r="H183" s="151"/>
    </row>
    <row r="184" spans="2:8" s="43" customFormat="1" ht="27.75" thickBot="1" x14ac:dyDescent="0.35">
      <c r="B184" s="47" t="s">
        <v>31</v>
      </c>
      <c r="C184" s="47">
        <v>5</v>
      </c>
      <c r="D184" s="127" t="str">
        <f t="shared" si="23"/>
        <v xml:space="preserve"> 25 min</v>
      </c>
      <c r="E184" s="48" t="s">
        <v>154</v>
      </c>
      <c r="F184" s="260"/>
      <c r="G184" s="261"/>
      <c r="H184" s="151"/>
    </row>
    <row r="185" spans="2:8" s="43" customFormat="1" ht="15" thickBot="1" x14ac:dyDescent="0.35">
      <c r="B185" s="134" t="s">
        <v>44</v>
      </c>
      <c r="C185" s="66">
        <f>SUM(C176:C184)</f>
        <v>48</v>
      </c>
      <c r="D185" s="134" t="str">
        <f xml:space="preserve"> setValueToTime(C185)</f>
        <v>4h</v>
      </c>
      <c r="E185" s="95"/>
      <c r="F185" s="251"/>
      <c r="G185" s="252"/>
      <c r="H185" s="151"/>
    </row>
    <row r="186" spans="2:8" s="43" customFormat="1" ht="15" thickBot="1" x14ac:dyDescent="0.35">
      <c r="B186" s="60"/>
      <c r="C186" s="60"/>
      <c r="D186" s="60"/>
      <c r="E186" s="60"/>
      <c r="F186" s="60"/>
      <c r="G186" s="60"/>
      <c r="H186" s="151"/>
    </row>
    <row r="187" spans="2:8" s="39" customFormat="1" ht="30" customHeight="1" thickBot="1" x14ac:dyDescent="0.3">
      <c r="B187" s="128" t="s">
        <v>37</v>
      </c>
      <c r="C187" s="136">
        <v>2</v>
      </c>
      <c r="D187" s="136"/>
      <c r="E187" s="129" t="s">
        <v>38</v>
      </c>
      <c r="F187" s="130" t="s">
        <v>142</v>
      </c>
      <c r="G187" s="131" t="s">
        <v>68</v>
      </c>
      <c r="H187" s="150"/>
    </row>
    <row r="188" spans="2:8" s="39" customFormat="1" ht="30" customHeight="1" thickBot="1" x14ac:dyDescent="0.3">
      <c r="B188" s="61" t="s">
        <v>39</v>
      </c>
      <c r="C188" s="133" t="s">
        <v>40</v>
      </c>
      <c r="D188" s="132"/>
      <c r="E188" s="61" t="s">
        <v>41</v>
      </c>
      <c r="F188" s="253" t="s">
        <v>42</v>
      </c>
      <c r="G188" s="254"/>
      <c r="H188" s="150"/>
    </row>
    <row r="189" spans="2:8" s="43" customFormat="1" ht="27" x14ac:dyDescent="0.3">
      <c r="B189" s="40" t="s">
        <v>30</v>
      </c>
      <c r="C189" s="41">
        <v>12</v>
      </c>
      <c r="D189" s="124" t="str">
        <f xml:space="preserve"> IF(C189="","",setValueToTime(C189))</f>
        <v>1h</v>
      </c>
      <c r="E189" s="42" t="s">
        <v>165</v>
      </c>
      <c r="F189" s="255"/>
      <c r="G189" s="256"/>
      <c r="H189" s="151"/>
    </row>
    <row r="190" spans="2:8" s="43" customFormat="1" ht="27" x14ac:dyDescent="0.3">
      <c r="B190" s="44" t="s">
        <v>30</v>
      </c>
      <c r="C190" s="45">
        <v>12</v>
      </c>
      <c r="D190" s="125" t="str">
        <f t="shared" ref="D190:D192" si="25" xml:space="preserve"> IF(C190="","",setValueToTime(C190))</f>
        <v>1h</v>
      </c>
      <c r="E190" s="46" t="s">
        <v>166</v>
      </c>
      <c r="F190" s="259"/>
      <c r="G190" s="258"/>
      <c r="H190" s="151"/>
    </row>
    <row r="191" spans="2:8" s="43" customFormat="1" ht="27" x14ac:dyDescent="0.3">
      <c r="B191" s="44" t="s">
        <v>30</v>
      </c>
      <c r="C191" s="45">
        <v>11</v>
      </c>
      <c r="D191" s="125" t="str">
        <f t="shared" si="25"/>
        <v xml:space="preserve"> 55 min</v>
      </c>
      <c r="E191" s="46" t="s">
        <v>164</v>
      </c>
      <c r="F191" s="259"/>
      <c r="G191" s="258"/>
      <c r="H191" s="151"/>
    </row>
    <row r="192" spans="2:8" s="43" customFormat="1" ht="27.75" thickBot="1" x14ac:dyDescent="0.35">
      <c r="B192" s="47" t="s">
        <v>31</v>
      </c>
      <c r="C192" s="47">
        <v>3</v>
      </c>
      <c r="D192" s="127" t="str">
        <f t="shared" si="25"/>
        <v xml:space="preserve"> 15 min</v>
      </c>
      <c r="E192" s="48" t="s">
        <v>154</v>
      </c>
      <c r="F192" s="260"/>
      <c r="G192" s="261"/>
      <c r="H192" s="151"/>
    </row>
    <row r="193" spans="2:8" s="43" customFormat="1" ht="15" thickBot="1" x14ac:dyDescent="0.35">
      <c r="B193" s="134" t="s">
        <v>44</v>
      </c>
      <c r="C193" s="66">
        <f>SUM(C189:C192)</f>
        <v>38</v>
      </c>
      <c r="D193" s="134" t="str">
        <f xml:space="preserve"> setValueToTime(C193)</f>
        <v>3h 10 min</v>
      </c>
      <c r="E193" s="95"/>
      <c r="F193" s="251"/>
      <c r="G193" s="252"/>
      <c r="H193" s="151"/>
    </row>
    <row r="194" spans="2:8" s="43" customFormat="1" ht="15" thickBot="1" x14ac:dyDescent="0.35">
      <c r="B194" s="60"/>
      <c r="C194" s="60"/>
      <c r="D194" s="60"/>
      <c r="E194" s="60"/>
      <c r="F194" s="60"/>
      <c r="G194" s="60"/>
      <c r="H194" s="151"/>
    </row>
    <row r="195" spans="2:8" s="39" customFormat="1" ht="30" customHeight="1" thickBot="1" x14ac:dyDescent="0.3">
      <c r="B195" s="128" t="s">
        <v>37</v>
      </c>
      <c r="C195" s="136">
        <v>1</v>
      </c>
      <c r="D195" s="136"/>
      <c r="E195" s="129" t="s">
        <v>38</v>
      </c>
      <c r="F195" s="130" t="s">
        <v>142</v>
      </c>
      <c r="G195" s="131" t="s">
        <v>66</v>
      </c>
      <c r="H195" s="150"/>
    </row>
    <row r="196" spans="2:8" s="39" customFormat="1" ht="30" customHeight="1" thickBot="1" x14ac:dyDescent="0.3">
      <c r="B196" s="61" t="s">
        <v>39</v>
      </c>
      <c r="C196" s="133" t="s">
        <v>40</v>
      </c>
      <c r="D196" s="132"/>
      <c r="E196" s="61" t="s">
        <v>41</v>
      </c>
      <c r="F196" s="253" t="s">
        <v>42</v>
      </c>
      <c r="G196" s="254"/>
      <c r="H196" s="150"/>
    </row>
    <row r="197" spans="2:8" s="43" customFormat="1" ht="40.5" x14ac:dyDescent="0.3">
      <c r="B197" s="40" t="s">
        <v>28</v>
      </c>
      <c r="C197" s="41">
        <v>12</v>
      </c>
      <c r="D197" s="124" t="str">
        <f xml:space="preserve"> IF(C197="","",setValueToTime(C197))</f>
        <v>1h</v>
      </c>
      <c r="E197" s="42" t="s">
        <v>162</v>
      </c>
      <c r="F197" s="255"/>
      <c r="G197" s="256"/>
      <c r="H197" s="151"/>
    </row>
    <row r="198" spans="2:8" s="43" customFormat="1" ht="27" x14ac:dyDescent="0.3">
      <c r="B198" s="44" t="s">
        <v>30</v>
      </c>
      <c r="C198" s="45">
        <v>12</v>
      </c>
      <c r="D198" s="125" t="str">
        <f t="shared" ref="D198:D201" si="26" xml:space="preserve"> IF(C198="","",setValueToTime(C198))</f>
        <v>1h</v>
      </c>
      <c r="E198" s="46" t="s">
        <v>163</v>
      </c>
      <c r="F198" s="259"/>
      <c r="G198" s="258"/>
      <c r="H198" s="151"/>
    </row>
    <row r="199" spans="2:8" s="43" customFormat="1" ht="27" x14ac:dyDescent="0.3">
      <c r="B199" s="44" t="s">
        <v>30</v>
      </c>
      <c r="C199" s="45">
        <v>12</v>
      </c>
      <c r="D199" s="125" t="str">
        <f t="shared" si="26"/>
        <v>1h</v>
      </c>
      <c r="E199" s="46" t="s">
        <v>183</v>
      </c>
      <c r="F199" s="259"/>
      <c r="G199" s="258"/>
      <c r="H199" s="151"/>
    </row>
    <row r="200" spans="2:8" s="43" customFormat="1" ht="40.5" x14ac:dyDescent="0.3">
      <c r="B200" s="44" t="s">
        <v>30</v>
      </c>
      <c r="C200" s="45">
        <v>9</v>
      </c>
      <c r="D200" s="125" t="str">
        <f t="shared" si="26"/>
        <v xml:space="preserve"> 45 min</v>
      </c>
      <c r="E200" s="46" t="s">
        <v>182</v>
      </c>
      <c r="F200" s="259"/>
      <c r="G200" s="258"/>
      <c r="H200" s="151"/>
    </row>
    <row r="201" spans="2:8" s="43" customFormat="1" ht="27.75" thickBot="1" x14ac:dyDescent="0.35">
      <c r="B201" s="47" t="s">
        <v>31</v>
      </c>
      <c r="C201" s="47">
        <v>3</v>
      </c>
      <c r="D201" s="127" t="str">
        <f t="shared" si="26"/>
        <v xml:space="preserve"> 15 min</v>
      </c>
      <c r="E201" s="48" t="s">
        <v>154</v>
      </c>
      <c r="F201" s="260"/>
      <c r="G201" s="261"/>
      <c r="H201" s="151"/>
    </row>
    <row r="202" spans="2:8" s="43" customFormat="1" ht="15" thickBot="1" x14ac:dyDescent="0.35">
      <c r="B202" s="134" t="s">
        <v>44</v>
      </c>
      <c r="C202" s="66">
        <f>SUM(C197:C201)</f>
        <v>48</v>
      </c>
      <c r="D202" s="134" t="str">
        <f xml:space="preserve"> setValueToTime(C202)</f>
        <v>4h</v>
      </c>
      <c r="E202" s="95"/>
      <c r="F202" s="251"/>
      <c r="G202" s="252"/>
      <c r="H202" s="151"/>
    </row>
    <row r="203" spans="2:8" s="43" customFormat="1" x14ac:dyDescent="0.3">
      <c r="B203" s="60"/>
      <c r="C203" s="60"/>
      <c r="D203" s="60"/>
      <c r="E203" s="60"/>
      <c r="F203" s="60"/>
      <c r="G203" s="60"/>
      <c r="H203" s="151"/>
    </row>
  </sheetData>
  <sheetProtection formatRows="0" insertRows="0" insertHyperlinks="0" deleteRows="0" selectLockedCells="1"/>
  <mergeCells count="162">
    <mergeCell ref="F27:G27"/>
    <mergeCell ref="F22:G22"/>
    <mergeCell ref="F23:G23"/>
    <mergeCell ref="F24:G24"/>
    <mergeCell ref="F25:G25"/>
    <mergeCell ref="F26:G26"/>
    <mergeCell ref="F47:G47"/>
    <mergeCell ref="F41:G41"/>
    <mergeCell ref="F42:G42"/>
    <mergeCell ref="F43:G43"/>
    <mergeCell ref="F44:G44"/>
    <mergeCell ref="F45:G45"/>
    <mergeCell ref="F46:G46"/>
    <mergeCell ref="F66:G66"/>
    <mergeCell ref="F50:G50"/>
    <mergeCell ref="F51:G51"/>
    <mergeCell ref="F52:G52"/>
    <mergeCell ref="F53:G53"/>
    <mergeCell ref="F54:G54"/>
    <mergeCell ref="F55:G55"/>
    <mergeCell ref="F56:G56"/>
    <mergeCell ref="F59:G59"/>
    <mergeCell ref="F60:G60"/>
    <mergeCell ref="F61:G61"/>
    <mergeCell ref="F62:G62"/>
    <mergeCell ref="F63:G63"/>
    <mergeCell ref="F64:G64"/>
    <mergeCell ref="F65:G65"/>
    <mergeCell ref="F76:G76"/>
    <mergeCell ref="F77:G77"/>
    <mergeCell ref="F78:G78"/>
    <mergeCell ref="F69:G69"/>
    <mergeCell ref="F70:G70"/>
    <mergeCell ref="F71:G71"/>
    <mergeCell ref="F72:G72"/>
    <mergeCell ref="F73:G73"/>
    <mergeCell ref="F99:G99"/>
    <mergeCell ref="F81:G81"/>
    <mergeCell ref="F82:G82"/>
    <mergeCell ref="F83:G83"/>
    <mergeCell ref="F84:G84"/>
    <mergeCell ref="F85:G85"/>
    <mergeCell ref="F86:G86"/>
    <mergeCell ref="F87:G87"/>
    <mergeCell ref="F89:G89"/>
    <mergeCell ref="F90:G90"/>
    <mergeCell ref="F91:G91"/>
    <mergeCell ref="F88:G88"/>
    <mergeCell ref="F74:G74"/>
    <mergeCell ref="F75:G75"/>
    <mergeCell ref="F148:G148"/>
    <mergeCell ref="F149:G149"/>
    <mergeCell ref="F144:G144"/>
    <mergeCell ref="F145:G145"/>
    <mergeCell ref="F146:G146"/>
    <mergeCell ref="F147:G147"/>
    <mergeCell ref="F139:G139"/>
    <mergeCell ref="F140:G140"/>
    <mergeCell ref="F141:G141"/>
    <mergeCell ref="F134:G134"/>
    <mergeCell ref="F135:G135"/>
    <mergeCell ref="F136:G136"/>
    <mergeCell ref="F138:G138"/>
    <mergeCell ref="F137:G137"/>
    <mergeCell ref="F130:G130"/>
    <mergeCell ref="F131:G131"/>
    <mergeCell ref="F114:G114"/>
    <mergeCell ref="F126:G126"/>
    <mergeCell ref="F127:G127"/>
    <mergeCell ref="F128:G128"/>
    <mergeCell ref="F129:G129"/>
    <mergeCell ref="F115:G115"/>
    <mergeCell ref="F116:G116"/>
    <mergeCell ref="F117:G117"/>
    <mergeCell ref="F118:G118"/>
    <mergeCell ref="F119:G119"/>
    <mergeCell ref="F121:G121"/>
    <mergeCell ref="F122:G122"/>
    <mergeCell ref="F120:G120"/>
    <mergeCell ref="F125:G125"/>
    <mergeCell ref="F181:G181"/>
    <mergeCell ref="F183:G183"/>
    <mergeCell ref="F184:G184"/>
    <mergeCell ref="F185:G185"/>
    <mergeCell ref="F182:G182"/>
    <mergeCell ref="F180:G180"/>
    <mergeCell ref="F164:G164"/>
    <mergeCell ref="F165:G165"/>
    <mergeCell ref="F166:G166"/>
    <mergeCell ref="F167:G167"/>
    <mergeCell ref="F168:G168"/>
    <mergeCell ref="F170:G170"/>
    <mergeCell ref="F171:G171"/>
    <mergeCell ref="F172:G172"/>
    <mergeCell ref="F175:G175"/>
    <mergeCell ref="F176:G176"/>
    <mergeCell ref="F177:G177"/>
    <mergeCell ref="F178:G178"/>
    <mergeCell ref="F179:G179"/>
    <mergeCell ref="F169:G169"/>
    <mergeCell ref="F201:G201"/>
    <mergeCell ref="F202:G202"/>
    <mergeCell ref="F188:G188"/>
    <mergeCell ref="F189:G189"/>
    <mergeCell ref="F190:G190"/>
    <mergeCell ref="F191:G191"/>
    <mergeCell ref="F196:G196"/>
    <mergeCell ref="F197:G197"/>
    <mergeCell ref="F198:G198"/>
    <mergeCell ref="F199:G199"/>
    <mergeCell ref="F200:G200"/>
    <mergeCell ref="F192:G192"/>
    <mergeCell ref="F193:G193"/>
    <mergeCell ref="F152:G152"/>
    <mergeCell ref="F153:G153"/>
    <mergeCell ref="F154:G154"/>
    <mergeCell ref="F155:G155"/>
    <mergeCell ref="F156:G156"/>
    <mergeCell ref="F157:G157"/>
    <mergeCell ref="F159:G159"/>
    <mergeCell ref="F160:G160"/>
    <mergeCell ref="F161:G161"/>
    <mergeCell ref="F158:G158"/>
    <mergeCell ref="F111:G111"/>
    <mergeCell ref="F38:G38"/>
    <mergeCell ref="F35:G35"/>
    <mergeCell ref="F30:G30"/>
    <mergeCell ref="F31:G31"/>
    <mergeCell ref="F32:G32"/>
    <mergeCell ref="F33:G33"/>
    <mergeCell ref="F34:G34"/>
    <mergeCell ref="F36:G36"/>
    <mergeCell ref="F37:G37"/>
    <mergeCell ref="F100:G100"/>
    <mergeCell ref="F94:G94"/>
    <mergeCell ref="F95:G95"/>
    <mergeCell ref="F96:G96"/>
    <mergeCell ref="F97:G97"/>
    <mergeCell ref="F98:G98"/>
    <mergeCell ref="F108:G108"/>
    <mergeCell ref="F109:G109"/>
    <mergeCell ref="F110:G110"/>
    <mergeCell ref="F103:G103"/>
    <mergeCell ref="F104:G104"/>
    <mergeCell ref="F105:G105"/>
    <mergeCell ref="F106:G106"/>
    <mergeCell ref="F107:G107"/>
    <mergeCell ref="F19:G19"/>
    <mergeCell ref="F3:G3"/>
    <mergeCell ref="F4:G4"/>
    <mergeCell ref="F5:G5"/>
    <mergeCell ref="F6:G6"/>
    <mergeCell ref="F7:G7"/>
    <mergeCell ref="F8:G8"/>
    <mergeCell ref="F9:G9"/>
    <mergeCell ref="F16:G16"/>
    <mergeCell ref="F12:G12"/>
    <mergeCell ref="F13:G13"/>
    <mergeCell ref="F14:G14"/>
    <mergeCell ref="F15:G15"/>
    <mergeCell ref="F17:G17"/>
    <mergeCell ref="F18:G18"/>
  </mergeCells>
  <phoneticPr fontId="0" type="noConversion"/>
  <conditionalFormatting sqref="C202">
    <cfRule type="cellIs" dxfId="21" priority="20" operator="greaterThan">
      <formula>60</formula>
    </cfRule>
  </conditionalFormatting>
  <conditionalFormatting sqref="C193">
    <cfRule type="cellIs" dxfId="20" priority="19" operator="greaterThan">
      <formula>60</formula>
    </cfRule>
  </conditionalFormatting>
  <conditionalFormatting sqref="C185">
    <cfRule type="cellIs" dxfId="19" priority="18" operator="greaterThan">
      <formula>60</formula>
    </cfRule>
  </conditionalFormatting>
  <conditionalFormatting sqref="C172">
    <cfRule type="cellIs" dxfId="18" priority="17" operator="greaterThan">
      <formula>60</formula>
    </cfRule>
  </conditionalFormatting>
  <conditionalFormatting sqref="C161">
    <cfRule type="cellIs" dxfId="17" priority="16" operator="greaterThan">
      <formula>60</formula>
    </cfRule>
  </conditionalFormatting>
  <conditionalFormatting sqref="C149">
    <cfRule type="cellIs" dxfId="16" priority="15" operator="greaterThan">
      <formula>60</formula>
    </cfRule>
  </conditionalFormatting>
  <conditionalFormatting sqref="C141">
    <cfRule type="cellIs" dxfId="15" priority="14" operator="greaterThan">
      <formula>60</formula>
    </cfRule>
  </conditionalFormatting>
  <conditionalFormatting sqref="C131">
    <cfRule type="cellIs" dxfId="14" priority="13" operator="greaterThan">
      <formula>60</formula>
    </cfRule>
  </conditionalFormatting>
  <conditionalFormatting sqref="C122">
    <cfRule type="cellIs" dxfId="13" priority="12" operator="greaterThan">
      <formula>60</formula>
    </cfRule>
  </conditionalFormatting>
  <conditionalFormatting sqref="C111">
    <cfRule type="cellIs" dxfId="12" priority="11" operator="greaterThan">
      <formula>60</formula>
    </cfRule>
  </conditionalFormatting>
  <conditionalFormatting sqref="C100">
    <cfRule type="cellIs" dxfId="11" priority="10" operator="greaterThan">
      <formula>60</formula>
    </cfRule>
  </conditionalFormatting>
  <conditionalFormatting sqref="C91">
    <cfRule type="cellIs" dxfId="10" priority="9" operator="greaterThan">
      <formula>60</formula>
    </cfRule>
  </conditionalFormatting>
  <conditionalFormatting sqref="C78">
    <cfRule type="cellIs" dxfId="9" priority="8" operator="greaterThan">
      <formula>60</formula>
    </cfRule>
  </conditionalFormatting>
  <conditionalFormatting sqref="C66">
    <cfRule type="cellIs" dxfId="8" priority="7" operator="greaterThan">
      <formula>60</formula>
    </cfRule>
  </conditionalFormatting>
  <conditionalFormatting sqref="C56">
    <cfRule type="cellIs" dxfId="7" priority="6" operator="greaterThan">
      <formula>60</formula>
    </cfRule>
  </conditionalFormatting>
  <conditionalFormatting sqref="C47">
    <cfRule type="cellIs" dxfId="6" priority="5" operator="greaterThan">
      <formula>60</formula>
    </cfRule>
  </conditionalFormatting>
  <conditionalFormatting sqref="C38">
    <cfRule type="cellIs" dxfId="5" priority="4" operator="greaterThan">
      <formula>60</formula>
    </cfRule>
  </conditionalFormatting>
  <conditionalFormatting sqref="C27">
    <cfRule type="cellIs" dxfId="4" priority="3" operator="greaterThan">
      <formula>60</formula>
    </cfRule>
  </conditionalFormatting>
  <conditionalFormatting sqref="C19">
    <cfRule type="cellIs" dxfId="3" priority="2" operator="greaterThan">
      <formula>60</formula>
    </cfRule>
  </conditionalFormatting>
  <conditionalFormatting sqref="C9">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76:C184 C189:C192 C197:C201 C165:C171 C153:C160 C145:C148 C135:C140 C126:C130 C115:C121 C95:C99 C104:C110 C82:C90 C70:C77 C60:C65 C51:C55 C42:C46 C31:C37 C23:C26 C13:C18 C4:C8"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02 C193 C185 C172 C161 C149 C141 C131 C122 C111 C100 C91 C78 C66 C56 C47 C38 C27 C19 C9"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5"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95250</xdr:rowOff>
              </from>
              <to>
                <xdr:col>2</xdr:col>
                <xdr:colOff>457200</xdr:colOff>
                <xdr:row>0</xdr:row>
                <xdr:rowOff>561975</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95250</xdr:rowOff>
              </from>
              <to>
                <xdr:col>4</xdr:col>
                <xdr:colOff>762000</xdr:colOff>
                <xdr:row>0</xdr:row>
                <xdr:rowOff>571500</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B176:B184 B189:B192 B197:B201 B165:B171 B153:B160 B145:B148 B135:B140 B126:B130 B115:B121 B95:B99 B104:B110 B82:B90 B70:B77 B60:B65 B51:B55 B42:B46 B31:B37 B23:B26 B13:B18 B4:B8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2025-05-20T14:33:10Z</cp:lastPrinted>
  <dcterms:created xsi:type="dcterms:W3CDTF">1996-10-21T11:03:58Z</dcterms:created>
  <dcterms:modified xsi:type="dcterms:W3CDTF">2025-05-22T14:28:17Z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