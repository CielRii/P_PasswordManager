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20C82D7A-9497-4F40-AF9F-7B5BD45C8FB4}"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Journal!$B$19:$G$238</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12" l="1"/>
  <c r="C17" i="12"/>
  <c r="C25" i="12"/>
  <c r="C35" i="12"/>
  <c r="C44" i="12"/>
  <c r="C54" i="12"/>
  <c r="C62" i="12"/>
  <c r="C73" i="12"/>
  <c r="C82" i="12"/>
  <c r="C91" i="12"/>
  <c r="C101" i="12"/>
  <c r="C113" i="12"/>
  <c r="C126" i="12"/>
  <c r="C135" i="12"/>
  <c r="C146" i="12"/>
  <c r="C157" i="12"/>
  <c r="C166" i="12"/>
  <c r="D6" i="12"/>
  <c r="D7" i="12"/>
  <c r="D8" i="12"/>
  <c r="D5" i="12"/>
  <c r="D4" i="12"/>
  <c r="D9" i="12"/>
  <c r="D101" i="12"/>
  <c r="D155" i="12"/>
  <c r="D144" i="12"/>
  <c r="D48" i="12"/>
  <c r="D68" i="12"/>
  <c r="D61" i="12"/>
  <c r="D100" i="12"/>
  <c r="D58" i="12"/>
  <c r="D141" i="12"/>
  <c r="D81" i="12"/>
  <c r="D139" i="12"/>
  <c r="D88" i="12"/>
  <c r="D35" i="12"/>
  <c r="D32" i="12"/>
  <c r="D52" i="12"/>
  <c r="D123" i="12"/>
  <c r="D152" i="12"/>
  <c r="D79" i="12"/>
  <c r="D132" i="12"/>
  <c r="D86" i="12"/>
  <c r="D87" i="12"/>
  <c r="D107" i="12"/>
  <c r="D50" i="12"/>
  <c r="D95" i="12"/>
  <c r="D122" i="12"/>
  <c r="D70" i="12"/>
  <c r="D31" i="12"/>
  <c r="D119" i="12"/>
  <c r="D108" i="12"/>
  <c r="D106" i="12"/>
  <c r="D172" i="12"/>
  <c r="D156" i="12"/>
  <c r="D142" i="12"/>
  <c r="D97" i="12"/>
  <c r="D150" i="12"/>
  <c r="D67" i="12"/>
  <c r="D34" i="12"/>
  <c r="D39" i="12"/>
  <c r="D21" i="12"/>
  <c r="D23" i="12"/>
  <c r="D125" i="12"/>
  <c r="D77" i="12"/>
  <c r="D154" i="12"/>
  <c r="D90" i="12"/>
  <c r="D59" i="12"/>
  <c r="D24" i="12"/>
  <c r="D49" i="12"/>
  <c r="D25" i="12"/>
  <c r="D121" i="12"/>
  <c r="D66" i="12"/>
  <c r="D44" i="12"/>
  <c r="D22" i="12"/>
  <c r="D40" i="12"/>
  <c r="D153" i="12"/>
  <c r="D69" i="12"/>
  <c r="D110" i="12"/>
  <c r="D78" i="12"/>
  <c r="D89" i="12"/>
  <c r="D113" i="12"/>
  <c r="D99" i="12"/>
  <c r="D82" i="12"/>
  <c r="D60" i="12"/>
  <c r="D124" i="12"/>
  <c r="D96" i="12"/>
  <c r="D41" i="12"/>
  <c r="D130" i="12"/>
  <c r="D105" i="12"/>
  <c r="D146" i="12"/>
  <c r="D151" i="12"/>
  <c r="D162" i="12"/>
  <c r="D145" i="12"/>
  <c r="D62" i="12"/>
  <c r="D109" i="12"/>
  <c r="D29" i="12"/>
  <c r="D51" i="12"/>
  <c r="D16" i="12"/>
  <c r="D163" i="12"/>
  <c r="D91" i="12"/>
  <c r="D165" i="12"/>
  <c r="D166" i="12"/>
  <c r="D80" i="12"/>
  <c r="D33" i="12"/>
  <c r="D15" i="12"/>
  <c r="D72" i="12"/>
  <c r="D161" i="12"/>
  <c r="D131" i="12"/>
  <c r="D133" i="12"/>
  <c r="D14" i="12"/>
  <c r="D143" i="12"/>
  <c r="D71" i="12"/>
  <c r="D112" i="12"/>
  <c r="D111" i="12"/>
  <c r="D117" i="12"/>
  <c r="D134" i="12"/>
  <c r="D17" i="12"/>
  <c r="D42" i="12"/>
  <c r="D43" i="12"/>
  <c r="D157" i="12"/>
  <c r="D98" i="12"/>
  <c r="D13" i="12"/>
  <c r="D53" i="12"/>
  <c r="D140" i="12"/>
  <c r="D73" i="12"/>
  <c r="D135" i="12"/>
  <c r="D30" i="12"/>
  <c r="D54" i="12"/>
  <c r="D126" i="12"/>
  <c r="D120" i="12"/>
  <c r="D118" i="12"/>
  <c r="D164" i="12"/>
  <c r="C176" i="12" l="1"/>
  <c r="C184" i="12"/>
  <c r="C196" i="12"/>
  <c r="C207" i="12"/>
  <c r="C237" i="12"/>
  <c r="C228" i="12"/>
  <c r="C220" i="12"/>
  <c r="E59" i="1"/>
  <c r="D108" i="10"/>
  <c r="D173" i="12"/>
  <c r="D170" i="12"/>
  <c r="D205" i="12"/>
  <c r="D232" i="12"/>
  <c r="D206" i="12"/>
  <c r="D225" i="12"/>
  <c r="D190" i="12"/>
  <c r="D189" i="12"/>
  <c r="D215" i="12"/>
  <c r="D183" i="12"/>
  <c r="D195" i="12"/>
  <c r="D227" i="12"/>
  <c r="D214" i="12"/>
  <c r="D188" i="12"/>
  <c r="D233" i="12"/>
  <c r="D180" i="12"/>
  <c r="D174" i="12"/>
  <c r="D192" i="12"/>
  <c r="D191" i="12"/>
  <c r="D175" i="12"/>
  <c r="D216" i="12"/>
  <c r="D234" i="12"/>
  <c r="D202" i="12"/>
  <c r="D201" i="12"/>
  <c r="D226" i="12"/>
  <c r="D194" i="12"/>
  <c r="D196" i="12"/>
  <c r="D235" i="12"/>
  <c r="D220" i="12"/>
  <c r="D171" i="12"/>
  <c r="D212" i="12"/>
  <c r="D193" i="12"/>
  <c r="D228" i="12"/>
  <c r="D219" i="12"/>
  <c r="D203" i="12"/>
  <c r="D236" i="12"/>
  <c r="D181" i="12"/>
  <c r="D217" i="12"/>
  <c r="D207" i="12"/>
  <c r="D200" i="12"/>
  <c r="D211" i="12"/>
  <c r="D213" i="12"/>
  <c r="D218" i="12"/>
  <c r="D182" i="12"/>
  <c r="D184" i="12"/>
  <c r="D237" i="12"/>
  <c r="D204" i="12"/>
  <c r="D176" i="12"/>
  <c r="D224"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<sst xmlns="http://schemas.openxmlformats.org/spreadsheetml/2006/main" count="1353" uniqueCount="303">
  <si>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</si>
  <si>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</si>
  <si>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</si>
  <si>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</si>
  <si>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</si>
  <si>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</si>
  <si>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</si>
  <si>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</si>
  <si>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</si>
  <si>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</si>
  <si>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</si>
  <si>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</si>
  <si>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</si>
  <si>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</si>
  <si>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</si>
  <si>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</si>
  <si>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</si>
  <si>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</si>
  <si>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</si>
  <si>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</si>
  <si>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</si>
  <si>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</si>
  <si>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</si>
  <si>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</si>
  <si>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</si>
  <si>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</si>
  <si>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</si>
  <si>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</si>
  <si>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</si>
  <si>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</si>
  <si>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</si>
  <si>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</si>
  <si>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</si>
  <si>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</si>
  <si>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</si>
  <si>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</si>
  <si>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</si>
  <si>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</si>
  <si>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</si>
  <si>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</si>
  <si>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</si>
  <si>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</si>
  <si>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</si>
  <si>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</si>
  <si>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</si>
  <si>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</si>
  <si>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</si>
  <si>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</si>
  <si>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</si>
  <si>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</si>
  <si>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</si>
  <si>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</si>
  <si>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</si>
  <si>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</si>
  <si>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</si>
  <si>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</si>
  <si>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</si>
  <si>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</si>
  <si>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</si>
  <si>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</si>
  <si>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</si>
  <si>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</si>
  <si>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</si>
  <si>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</si>
  <si>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</si>
  <si>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</si>
  <si>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</si>
  <si>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</si>
  <si>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</si>
  <si>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</si>
  <si>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</si>
  <si>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</si>
  <si>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</si>
  <si>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</si>
  <si>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</si>
  <si>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</si>
  <si>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</si>
  <si>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</si>
  <si>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</si>
  <si>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</si>
  <si>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</si>
  <si>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</si>
  <si>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</si>
  <si>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</si>
  <si>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</si>
  <si>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</si>
  <si>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</si>
  <si>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</si>
  <si>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</si>
  <si>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</si>
  <si>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</si>
  <si>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</si>
  <si>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</si>
  <si>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</si>
  <si>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</si>
  <si>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</si>
  <si>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</si>
  <si>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</si>
  <si>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</si>
  <si>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</si>
  <si>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</si>
  <si>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</si>
  <si>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</si>
  <si>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</si>
  <si>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</si>
  <si>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</si>
  <si>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</si>
  <si>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</si>
  <si>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</si>
  <si>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</si>
  <si>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</si>
  <si>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</si>
  <si>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</si>
  <si>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</si>
  <si>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</si>
  <si>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</si>
  <si>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</si>
  <si>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</si>
  <si>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</si>
  <si>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</si>
  <si>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</si>
  <si>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</si>
  <si>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</si>
  <si>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</si>
  <si>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</si>
  <si>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</si>
  <si>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</si>
  <si>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</si>
  <si>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</si>
  <si>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</si>
  <si>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</si>
  <si>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</si>
  <si>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</si>
  <si>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</si>
  <si>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</si>
  <si>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</si>
  <si>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</si>
  <si>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</si>
  <si>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</si>
  <si>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</si>
  <si>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</si>
  <si>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</si>
  <si>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</si>
  <si>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</si>
  <si>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</si>
  <si>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</si>
  <si>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</si>
  <si>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</si>
  <si>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</si>
  <si>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</si>
  <si>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</si>
  <si>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</si>
  <si>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</si>
  <si>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</si>
  <si>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</si>
  <si>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</si>
  <si>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</si>
  <si>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</si>
  <si>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</si>
  <si>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</si>
  <si>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</si>
  <si>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</si>
  <si>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</si>
  <si>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</si>
  <si>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</si>
  <si>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</si>
  <si>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</si>
  <si>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</si>
  <si>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</si>
  <si>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</si>
  <si>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</si>
  <si>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</si>
  <si>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</si>
  <si>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</si>
  <si>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</si>
  <si>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</si>
  <si>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</si>
  <si>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</si>
  <si>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</si>
  <si>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</si>
  <si>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</si>
  <si>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</si>
  <si>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</si>
  <si>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</si>
  <si>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</si>
  <si>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</si>
  <si>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</si>
  <si>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</si>
  <si>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</si>
  <si>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</si>
  <si>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</si>
  <si>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</si>
  <si>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</si>
  <si>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</si>
  <si>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</si>
  <si>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</si>
  <si>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</si>
  <si>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</si>
  <si>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</si>
  <si>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</si>
  <si>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</si>
  <si>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</si>
  <si>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</si>
  <si>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</si>
  <si>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</si>
  <si>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</si>
  <si>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</si>
  <si>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</si>
  <si>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</si>
  <si>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</si>
  <si>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</si>
  <si>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</si>
  <si>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</si>
  <si>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</si>
  <si>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</si>
  <si>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</si>
  <si>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</si>
  <si>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</si>
  <si>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</si>
  <si>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</si>
  <si>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</si>
  <si>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</si>
  <si>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</si>
  <si>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</si>
  <si>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</si>
  <si>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</si>
  <si>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</si>
  <si>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</si>
  <si>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</si>
  <si>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</si>
  <si>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</si>
  <si>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</si>
  <si>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</si>
  <si>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</si>
  <si>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</si>
  <si>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</si>
  <si>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</si>
  <si>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Connexion et mise en place du nouveau poste de travail.
Avancé ralenti pour des raisons personnelles.</t>
  </si>
  <si>
    <t>Mot de passe caché lors de l'écriture de celui-ci.</t>
  </si>
  <si>
    <t>Mise en place d'une classe qui renvoie l'id de l'utilisateur actuel.</t>
  </si>
  <si>
    <t>Sources notées (titres à compléter).</t>
  </si>
  <si>
    <t>Notation des tâches effectuées.
Envoi mail. 
Git.</t>
  </si>
  <si>
    <t>Notation des tâches effectuées. 
Rédaction mail.</t>
  </si>
  <si>
    <t>Discussion avec le chef de projet.</t>
  </si>
  <si>
    <t>Discussion avec le 2ème expert.</t>
  </si>
  <si>
    <t>Sections : titre, intro, début bonnes pratiques sécurité, début matériel et logiciels à disposition, début description, début prérequis.
Explication de la différence entre le rôle admin et l'utilisateur lambda.</t>
  </si>
  <si>
    <t>Sections : suite matériel et logiciels à disposition, fin description, contraintes, prérequis (conversion image en texte pour gagner du temps), travail à réalisé, "si le temps le permet", début du bilan personnel.</t>
  </si>
  <si>
    <r>
      <t xml:space="preserve">Pour convertir l'image des obejctifs reçue en texte : </t>
    </r>
    <r>
      <rPr>
        <sz val="10"/>
        <color theme="8"/>
        <rFont val="Century Gothic"/>
        <family val="2"/>
        <scheme val="minor"/>
      </rPr>
      <t>https://www.online-convert.com/fr/</t>
    </r>
  </si>
  <si>
    <t>Suite du bilan personnel.</t>
  </si>
  <si>
    <t>Modification du type de la variable salt (VARBINARY au lieu de VARCHAR), mais le code ne crée plus la procédure. Problème mis de côté.</t>
  </si>
  <si>
    <r>
      <t xml:space="preserve">Pour conversion string en byte[] :
</t>
    </r>
    <r>
      <rPr>
        <sz val="10"/>
        <color theme="8"/>
        <rFont val="Century Gothic"/>
        <family val="2"/>
        <scheme val="minor"/>
      </rPr>
      <t>https://www.journaldunet.fr/developpeur/developpement/1202859-c-comment-convertir-une-chaine-string-en-byte-sans-specifier-manuellement-un-encodage/</t>
    </r>
  </si>
  <si>
    <t>Gestion des erreurs pour la génération de mot de passe.
Message confirmation de sauvergarde des données. 
Logique pour hacher le mot de passe avec le master password avant l'enregistrement okay.</t>
  </si>
  <si>
    <r>
      <t xml:space="preserve">Pour empêcher la modification d'uen textbox : </t>
    </r>
    <r>
      <rPr>
        <sz val="10"/>
        <color theme="8"/>
        <rFont val="Century Gothic"/>
        <family val="2"/>
        <scheme val="minor"/>
      </rPr>
      <t>https://stackoverflow.com/questions/8330430/how-to-disable-textbox-from-editing</t>
    </r>
  </si>
  <si>
    <t>Affichage des titres et du contenu du tableau okay.
Mise en page propre.
Problème avec l'indexation de l'affichage.</t>
  </si>
  <si>
    <r>
      <t xml:space="preserve">Pour redimensionner une image : </t>
    </r>
    <r>
      <rPr>
        <sz val="10"/>
        <color theme="8"/>
        <rFont val="Century Gothic"/>
        <family val="2"/>
        <scheme val="minor"/>
      </rPr>
      <t>https://www.delftstack.com/fr/howto/csharp/resize-an-image-in-csharp/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</si>
  <si>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</si>
  <si>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Définition des tâches de documentation à faire.</t>
  </si>
  <si>
    <t>Sections : début méthode de projet, bilan (explication choix des sources de la bibliographie), modèle MCD, début modèle MLD et MPD.</t>
  </si>
  <si>
    <t>Notation des tâches effectuées. 
Récupération git.
Envoi mail.</t>
  </si>
  <si>
    <t>Définition des points clés du manuel.
Définition suite des tâches à faire pour la journée.
Sections : suite modèle MLD et MPD.</t>
  </si>
  <si>
    <t>Définition des tâches pour le reste de la semaine.</t>
  </si>
  <si>
    <t>Création de la classe "WebSite".
Réflexion sur la requête vers la base de données pour récupérer les données de mot de passe.
Difficulté à savoir comment utiliser la table "manage".
Mise en place du modèle MVC.</t>
  </si>
  <si>
    <t>Etapes d'utilisation pour l'authentification, la création de compte, le coffre fort, la sauvegarde de mot de passe et le menu débutées.</t>
  </si>
  <si>
    <t>Redimension de la "ListView".
Difficulté à redimensionner l'image.
Code mis de côté car besoin de consulter des liens en ligne inaccesibles en raison d'un problème réseau.
Gestion des espaces.
Solution pour gérer afficher données en une seule colonne : ListView1.Items.Add en ListView1.Columns.Add. Diificulté à aller plus loin.</t>
  </si>
  <si>
    <t>Retour sur la gestion de l'affichage des données en colonne.</t>
  </si>
  <si>
    <t>Recherche options pour enregistrer l'entièreté de la page en pdf.
Pour gagner du temps j'ai demander à un de mes camarades s'il avait reçu la même remarque.
Celui-ci m'a finalement aidé à faire la sauvegarde en spécifiant la zone d'impression, alors que j'avais mis cette tâche de côté faute d'accès réseau.</t>
  </si>
  <si>
    <t>Simplification du code.
Modification du code pour utiliser les TextBox à la place de "DataViewGrid" - test effectué dans un fichier séparé.
Recherche méthodes pour cacher le curseur - désactivation de la "TextBox" mais affichage pas adapté au besoin.
Test utilisation d'un "Label" - Ajout de bordure okay, taille fixe okay.</t>
  </si>
  <si>
    <t>Modification variable password en masterPasword dans le code. 
Problème avec la génération du sel.</t>
  </si>
  <si>
    <t>Fermeture de la connexion à la base de données si login faux. 
Fermeture de la page seulement si connexion validée. 
Problème avec l'obtention du sel de l'utilisateur en mode connexion. Requête contrôlée, problème ailleurs.</t>
  </si>
  <si>
    <t>Explication des maquettes.
Explication du code pour se connecter à la base de données.</t>
  </si>
  <si>
    <t>Explication des fonctions CRUD utilisées (point A4 des critères d'évaluation).
Étapes de réalisation (récupération du texte pre-préparée durant p_appro).</t>
  </si>
  <si>
    <t>Discussion de classe.
Mise au point avancée avec chef de projet - aide de sa part sur points bloquants (gestion problème de compatibilité des versions git, problème exécution de procédure).
Le problème rencontrée avec l'exécution de la procédure n'a pas été résolu.</t>
  </si>
  <si>
    <t>Sections : risques techniques, options de sécurité.</t>
  </si>
  <si>
    <t>Sections : limites de l'environnement, résumé, début génération du mot de passe.</t>
  </si>
  <si>
    <t>Sections : planification initiale, gestion des versions, suite de la génération du mot de passe.</t>
  </si>
  <si>
    <t>/////////////////////////////////////////////////</t>
  </si>
  <si>
    <t>Sections : modèle MVC, début journal de travail.</t>
  </si>
  <si>
    <r>
      <t xml:space="preserve">Pour tester les méthodes événementielles : </t>
    </r>
    <r>
      <rPr>
        <sz val="10"/>
        <color theme="8"/>
        <rFont val="Century Gothic"/>
        <family val="2"/>
        <scheme val="minor"/>
      </rPr>
      <t>https://www.webdevtutor.net/blog/c-sharp-moq-invoke-event</t>
    </r>
  </si>
  <si>
    <r>
      <rPr>
        <sz val="10"/>
        <color theme="1"/>
        <rFont val="Century Gothic"/>
        <family val="2"/>
        <scheme val="minor"/>
      </rPr>
      <t>Pour créer le fichier des tests unitaires :</t>
    </r>
    <r>
      <rPr>
        <sz val="10"/>
        <color theme="8"/>
        <rFont val="Century Gothic"/>
        <family val="2"/>
        <scheme val="minor"/>
      </rPr>
      <t xml:space="preserve"> https://learn.microsoft.com/fr-fr/visualstudio/test/walkthrough-creating-and-running-unit-tests-for-managed-code?view=vs-2022</t>
    </r>
  </si>
  <si>
    <t>Définition des étapes pour les différents tests unitaires.
Recherche manière de tester les méthodes événementielles.
Début implémentation des tests unitaires (test dans un environnement ne faisant pas partie du projet).</t>
  </si>
  <si>
    <t>Recherche de solution pour le problème avec le "using".</t>
  </si>
  <si>
    <t>Suite implémentation des tests unitaires (structure et logique à vérifier).
Problème pour reconnaître le contrôleur, utilisation d'un "using" se référant au namespace du programme.</t>
  </si>
  <si>
    <t>Recherche image de couverture - recherche à continuer.
Mise au propre brève du rapport.</t>
  </si>
  <si>
    <t>Modification du code pour résoudre le problème d'acceptation.
Problème connexion reconnaissance données de connexion résolue.</t>
  </si>
  <si>
    <r>
      <t xml:space="preserve">Pour comparer mon code avec une version qui marchait : </t>
    </r>
    <r>
      <rPr>
        <sz val="10"/>
        <color theme="8"/>
        <rFont val="Century Gothic"/>
        <family val="2"/>
        <scheme val="minor"/>
      </rPr>
      <t>https://www.diffchecker.com/text-compare/</t>
    </r>
  </si>
  <si>
    <t>Page d'accueil - modification ordre du code pour plus de logique et de fluidité en tenant compte des différents cas réels, erreur après que 1er accès refusé.
Page création de compte - ////////////////////////////////////////</t>
  </si>
  <si>
    <t>Contrôle du hachage du mot de passe avec le "masterPassword" okay.</t>
  </si>
  <si>
    <t>Ajout de commentaires.
Modification du nom des classes et variables.</t>
  </si>
  <si>
    <t>Solution pour les erreurs d'accès : suppression de l'appel à la classe "Disconnect".
Sauvegarde données - message pour confirmer la sauvegarde, message d'erreur.
Création de compte - message d'erreur si aucun champ rempli, spécification du rôle admin.</t>
  </si>
  <si>
    <t>Notation des tâches effectuées.
Envoi mail.
Git.</t>
  </si>
  <si>
    <t>Insertion du code.
Recherche méthode pour cacher le mot de passe sans recours à une "TexBox" - solution implémentée et fonctionnelle.
Gestion des méthodes évenementielles en cours.</t>
  </si>
  <si>
    <r>
      <t xml:space="preserve">Pour faciliter la gestion de l'indexation : </t>
    </r>
    <r>
      <rPr>
        <sz val="10"/>
        <color theme="8"/>
        <rFont val="Century Gothic"/>
        <family val="2"/>
        <scheme val="minor"/>
      </rPr>
      <t>https://www.delftstack.com/fr/howto/csharp/how-to-add-values-to-array-in-csharp/</t>
    </r>
  </si>
  <si>
    <t>Suite de la gestion des méthodes évenementielles (à terminer).</t>
  </si>
  <si>
    <t>Sauvegarde de mot de passe - message d'erreur pour refuser l'enregistrement d'un mot de passe similaire au "masterPassword", message de confirmation pour la sauvegarde du mot de passe quand pas sécurisé.</t>
  </si>
  <si>
    <t>Affichage données distinctes okay.
Gestion de la méthode évenementielle pour afficher le mot de passe en cours.</t>
  </si>
  <si>
    <r>
      <t xml:space="preserve">Pour vérifier identifier l'index d'un label : </t>
    </r>
    <r>
      <rPr>
        <sz val="10"/>
        <color theme="8"/>
        <rFont val="Century Gothic"/>
        <family val="2"/>
        <scheme val="minor"/>
      </rPr>
      <t>https://www.geeksforgeeks.org/c-sharp-string-contains-method/</t>
    </r>
  </si>
  <si>
    <t>Code complètement implémentée pour la suppression d'une ligne de données, mais problème de contraintes (à voir plus tard).
Logique pour modifier des données en cours.</t>
  </si>
  <si>
    <t>Gestion de l'affichage du mot de passe okay.
Méthode évenementielle pour supprimer une ligne de données.</t>
  </si>
  <si>
    <r>
      <t xml:space="preserve">Pour gérer le résultat des "dialog boxes" avec un if : </t>
    </r>
    <r>
      <rPr>
        <sz val="10"/>
        <color theme="8"/>
        <rFont val="Century Gothic"/>
        <family val="2"/>
        <scheme val="minor"/>
      </rPr>
      <t>https://www.c-sharpcorner.com/article/dialog-boxes-in-c-sharp/</t>
    </r>
  </si>
  <si>
    <t>Difficultés à mettre chacune des données d'une ligne du tableau en mode modification.</t>
  </si>
  <si>
    <t>Gestion du calcul de la force du mot de passe à chaque changement du contenu de la "textBox".
"TextBox" nettoyé avant de générer de nouvelles données.</t>
  </si>
  <si>
    <t xml:space="preserve">Simplification code avec l'aide de mon chef de projet M. Schaffter.
</t>
  </si>
  <si>
    <t>Résolution problème d'indexation de la ligne complète pour commencer la modification, mais reste à gérer pour valider la modification.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</si>
</sst>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19" fillId="0" borderId="15" xfId="0" applyFont="1" applyBorder="1" applyAlignment="1">
      <alignment horizontal="center"/>
    </xf>
    <xf numFmtId="0" fontId="13" fillId="9" borderId="0" xfId="0" applyFont="1" applyFill="1" applyAlignment="1">
      <alignment horizontal="center"/>
    </xf>
    <xf numFmtId="0" fontId="20"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18" fillId="0" borderId="5" xfId="0" applyFont="1" applyBorder="1" applyAlignment="1">
      <alignment horizontal="center"/>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5" fillId="0" borderId="33" xfId="1" applyFont="1" applyBorder="1" applyAlignment="1" applyProtection="1">
      <alignment horizontal="left" vertical="top" wrapText="1"/>
      <protection locked="0"/>
    </xf>
    <xf numFmtId="0" fontId="25" fillId="0" borderId="47"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6" fillId="0" borderId="33"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95250</xdr:rowOff>
        </xdr:from>
        <xdr:to>
          <xdr:col>4</xdr:col>
          <xdr:colOff>762000</xdr:colOff>
          <xdr:row>0</xdr:row>
          <xdr:rowOff>571500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95250</xdr:rowOff>
        </xdr:from>
        <xdr:to>
          <xdr:col>2</xdr:col>
          <xdr:colOff>457200</xdr:colOff>
          <xdr:row>0</xdr:row>
          <xdr:rowOff>561975</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16" t="s">
        <v>3</v>
      </c>
      <c r="D1" s="216"/>
      <c r="E1" s="21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17"/>
      <c r="D7" s="217"/>
      <c r="E7" s="21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27" t="str">
        <f>E60</f>
        <v>89h 30 min</v>
      </c>
      <c r="H9" s="227"/>
      <c r="I9" s="227"/>
      <c r="J9" s="227"/>
      <c r="K9" s="227"/>
      <c r="L9" s="227"/>
      <c r="M9" s="227"/>
      <c r="N9" s="227"/>
      <c r="O9" s="227"/>
      <c r="P9" s="227"/>
      <c r="Q9" s="227"/>
      <c r="R9" s="227"/>
      <c r="S9" s="227"/>
      <c r="T9" s="227"/>
      <c r="U9" s="227"/>
      <c r="V9" s="93"/>
      <c r="W9" s="228" t="s">
        <v>12</v>
      </c>
      <c r="X9" s="228"/>
      <c r="Y9" s="228"/>
      <c r="Z9" s="228"/>
      <c r="AA9" s="228"/>
      <c r="AB9" s="228"/>
      <c r="AC9" s="228"/>
      <c r="AD9" s="228"/>
      <c r="AE9" s="228"/>
      <c r="AF9" s="228"/>
      <c r="AG9" s="228"/>
      <c r="AH9" s="227" t="str">
        <f>E62</f>
        <v/>
      </c>
      <c r="AI9" s="227"/>
      <c r="AJ9" s="227"/>
      <c r="AK9" s="227"/>
      <c r="AL9" s="227"/>
      <c r="AM9" s="227"/>
      <c r="AN9" s="227"/>
      <c r="AO9" s="227"/>
      <c r="AP9" s="227"/>
      <c r="AQ9" s="227"/>
      <c r="AR9" s="227"/>
      <c r="AS9" s="227"/>
      <c r="AT9" s="227"/>
      <c r="AU9" s="227"/>
      <c r="AV9" s="227"/>
      <c r="AW9" s="227"/>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7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c r="KK10" s="225"/>
      <c r="KL10" s="225"/>
      <c r="KM10" s="225"/>
      <c r="KN10" s="225"/>
      <c r="KO10" s="225"/>
      <c r="KP10" s="225"/>
      <c r="KQ10" s="225"/>
      <c r="KR10" s="225"/>
      <c r="KS10" s="225"/>
      <c r="KT10" s="225"/>
      <c r="KU10" s="225"/>
      <c r="KV10" s="225"/>
      <c r="KW10" s="225"/>
      <c r="KX10" s="225"/>
      <c r="KY10" s="225"/>
      <c r="KZ10" s="225"/>
      <c r="LA10" s="225"/>
      <c r="LB10" s="225"/>
      <c r="LC10" s="225"/>
      <c r="LD10" s="225"/>
      <c r="LE10" s="225"/>
      <c r="LF10" s="225"/>
      <c r="LG10" s="225"/>
      <c r="LH10" s="225"/>
      <c r="LI10" s="225"/>
      <c r="LJ10" s="225"/>
      <c r="LK10" s="225"/>
      <c r="LL10" s="225"/>
      <c r="LM10" s="225"/>
      <c r="LN10" s="225"/>
      <c r="LO10" s="225"/>
      <c r="LP10" s="225"/>
      <c r="LQ10" s="225"/>
      <c r="LR10" s="225"/>
      <c r="LS10" s="225"/>
      <c r="LT10" s="225"/>
      <c r="LU10" s="225"/>
      <c r="LV10" s="225"/>
      <c r="LW10" s="225"/>
      <c r="LX10" s="225"/>
      <c r="LY10" s="225"/>
      <c r="LZ10" s="225"/>
      <c r="MA10" s="225"/>
      <c r="MB10" s="225"/>
      <c r="MC10" s="225"/>
      <c r="MD10" s="225"/>
      <c r="ME10" s="225"/>
      <c r="MF10" s="225"/>
      <c r="MG10" s="225"/>
      <c r="MH10" s="225"/>
      <c r="MI10" s="225"/>
      <c r="MJ10" s="225"/>
      <c r="MK10" s="225"/>
      <c r="ML10" s="225"/>
      <c r="MM10" s="225"/>
      <c r="MN10" s="225"/>
      <c r="MO10" s="225"/>
      <c r="MP10" s="225"/>
      <c r="MQ10" s="225"/>
      <c r="MR10" s="225"/>
      <c r="MS10" s="225"/>
      <c r="MT10" s="225"/>
      <c r="MU10" s="225"/>
      <c r="MV10" s="225"/>
      <c r="MW10" s="225"/>
      <c r="MX10" s="225"/>
      <c r="MY10" s="225"/>
      <c r="MZ10" s="225"/>
      <c r="NA10" s="225"/>
      <c r="NB10" s="225"/>
      <c r="NC10" s="225"/>
      <c r="ND10" s="225"/>
      <c r="NE10" s="225"/>
      <c r="NF10" s="225"/>
      <c r="NG10" s="225"/>
      <c r="NH10" s="225"/>
      <c r="NI10" s="225"/>
      <c r="NJ10" s="225"/>
      <c r="NK10" s="225"/>
      <c r="NL10" s="225"/>
      <c r="NM10" s="225"/>
      <c r="NN10" s="225"/>
      <c r="NO10" s="225"/>
      <c r="NP10" s="225"/>
      <c r="NQ10" s="225"/>
      <c r="NR10" s="225"/>
      <c r="NS10" s="225"/>
      <c r="NT10" s="225"/>
      <c r="NU10" s="225"/>
      <c r="NV10" s="225"/>
      <c r="NW10" s="225"/>
      <c r="NX10" s="225"/>
      <c r="NY10" s="225"/>
      <c r="NZ10" s="225"/>
      <c r="OA10" s="225"/>
      <c r="OB10" s="225"/>
      <c r="OC10" s="225"/>
      <c r="OD10" s="225"/>
      <c r="OE10" s="225"/>
      <c r="OF10" s="225"/>
      <c r="OG10" s="225"/>
      <c r="OH10" s="225"/>
      <c r="OI10" s="225"/>
      <c r="OJ10" s="225"/>
      <c r="OK10" s="225"/>
      <c r="OL10" s="225"/>
      <c r="OM10" s="225"/>
      <c r="ON10" s="225"/>
      <c r="OO10" s="225"/>
      <c r="OP10" s="225"/>
      <c r="OQ10" s="225"/>
      <c r="OR10" s="225"/>
      <c r="OS10" s="225"/>
      <c r="OT10" s="225"/>
      <c r="OU10" s="225"/>
      <c r="OV10" s="225"/>
      <c r="OW10" s="225"/>
      <c r="OX10" s="225"/>
      <c r="OY10" s="225"/>
      <c r="OZ10" s="225"/>
      <c r="PA10" s="225"/>
      <c r="PB10" s="225"/>
      <c r="PC10" s="225"/>
      <c r="PD10" s="225"/>
      <c r="PE10" s="225"/>
      <c r="PF10" s="225"/>
      <c r="PG10" s="225"/>
      <c r="PH10" s="225"/>
      <c r="PI10" s="225"/>
      <c r="PJ10" s="225"/>
      <c r="PK10" s="225"/>
      <c r="PL10" s="225"/>
      <c r="PM10" s="225"/>
      <c r="PN10" s="225"/>
      <c r="PO10" s="225"/>
      <c r="PP10" s="225"/>
      <c r="PQ10" s="225"/>
      <c r="PR10" s="225"/>
      <c r="PS10" s="225"/>
      <c r="PT10" s="225"/>
      <c r="PU10" s="225"/>
      <c r="PV10" s="225"/>
      <c r="PW10" s="225"/>
      <c r="PX10" s="225"/>
      <c r="PY10" s="225"/>
      <c r="PZ10" s="225"/>
      <c r="QA10" s="225"/>
      <c r="QB10" s="225"/>
      <c r="QC10" s="225"/>
      <c r="QD10" s="225"/>
      <c r="QE10" s="225"/>
      <c r="QF10" s="225"/>
      <c r="QG10" s="225"/>
      <c r="QH10" s="225"/>
      <c r="QI10" s="225"/>
      <c r="QJ10" s="225"/>
      <c r="QK10" s="225"/>
      <c r="QL10" s="225"/>
      <c r="QM10" s="225"/>
      <c r="QN10" s="225"/>
      <c r="QO10" s="225"/>
      <c r="QP10" s="225"/>
      <c r="QQ10" s="225"/>
      <c r="QR10" s="225"/>
      <c r="QS10" s="225"/>
      <c r="QT10" s="225"/>
      <c r="QU10" s="225"/>
      <c r="QV10" s="225"/>
      <c r="QW10" s="225"/>
      <c r="QX10" s="225"/>
      <c r="QY10" s="225"/>
      <c r="QZ10" s="225"/>
      <c r="RA10" s="225"/>
      <c r="RB10" s="225"/>
      <c r="RC10" s="225"/>
      <c r="RD10" s="225"/>
      <c r="RE10" s="225"/>
      <c r="RF10" s="225"/>
      <c r="RG10" s="225"/>
      <c r="RH10" s="225"/>
      <c r="RI10" s="225"/>
      <c r="RJ10" s="225"/>
      <c r="RK10" s="225"/>
      <c r="RL10" s="225"/>
      <c r="RM10" s="225"/>
      <c r="RN10" s="225"/>
      <c r="RO10" s="225"/>
      <c r="RP10" s="225"/>
      <c r="RQ10" s="225"/>
      <c r="RR10" s="225"/>
      <c r="RS10" s="225"/>
      <c r="RT10" s="225"/>
      <c r="RU10" s="225"/>
      <c r="RV10" s="225"/>
      <c r="RW10" s="225"/>
      <c r="RX10" s="225"/>
      <c r="RY10" s="225"/>
      <c r="RZ10" s="225"/>
      <c r="SA10" s="225"/>
      <c r="SB10" s="225"/>
      <c r="SC10" s="225"/>
      <c r="SD10" s="225"/>
      <c r="SE10" s="225"/>
      <c r="SF10" s="225"/>
      <c r="SG10" s="225"/>
      <c r="SH10" s="225"/>
      <c r="SI10" s="225"/>
      <c r="SJ10" s="225"/>
      <c r="SK10" s="225"/>
      <c r="SL10" s="225"/>
      <c r="SM10" s="225"/>
      <c r="SN10" s="225"/>
      <c r="SO10" s="225"/>
      <c r="SP10" s="225"/>
      <c r="SQ10" s="225"/>
      <c r="SR10" s="225"/>
      <c r="SS10" s="225"/>
      <c r="ST10" s="225"/>
      <c r="SU10" s="225"/>
      <c r="SV10" s="225"/>
      <c r="SW10" s="225"/>
      <c r="SX10" s="225"/>
      <c r="SY10" s="225"/>
      <c r="SZ10" s="225"/>
      <c r="TA10" s="225"/>
      <c r="TB10" s="225"/>
      <c r="TC10" s="225"/>
      <c r="TD10" s="225"/>
      <c r="TE10" s="225"/>
      <c r="TF10" s="225"/>
      <c r="TG10" s="225"/>
      <c r="TH10" s="225"/>
      <c r="TI10" s="225"/>
      <c r="TJ10" s="225"/>
      <c r="TK10" s="225"/>
      <c r="TL10" s="225"/>
      <c r="TM10" s="225"/>
      <c r="TN10" s="225"/>
      <c r="TO10" s="225"/>
      <c r="TP10" s="225"/>
      <c r="TQ10" s="225"/>
      <c r="TR10" s="225"/>
      <c r="TS10" s="225"/>
      <c r="TT10" s="225"/>
      <c r="TU10" s="225"/>
      <c r="TV10" s="225"/>
      <c r="TW10" s="225"/>
      <c r="TX10" s="225"/>
      <c r="TY10" s="225"/>
      <c r="TZ10" s="225"/>
      <c r="UA10" s="225"/>
      <c r="UB10" s="225"/>
      <c r="UC10" s="225"/>
      <c r="UD10" s="225"/>
      <c r="UE10" s="225"/>
      <c r="UF10" s="225"/>
      <c r="UG10" s="225"/>
      <c r="UH10" s="225"/>
      <c r="UI10" s="225"/>
      <c r="UJ10" s="225"/>
      <c r="UK10" s="225"/>
      <c r="UL10" s="225"/>
      <c r="UM10" s="225"/>
      <c r="UN10" s="225"/>
      <c r="UO10" s="225"/>
      <c r="UP10" s="225"/>
      <c r="UQ10" s="225"/>
      <c r="UR10" s="225"/>
      <c r="US10" s="225"/>
      <c r="UT10" s="225"/>
      <c r="UU10" s="225"/>
      <c r="UV10" s="225"/>
      <c r="UW10" s="225"/>
      <c r="UX10" s="225"/>
      <c r="UY10" s="225"/>
      <c r="UZ10" s="225"/>
      <c r="VA10" s="225"/>
      <c r="VB10" s="225"/>
      <c r="VC10" s="225"/>
      <c r="VD10" s="225"/>
      <c r="VE10" s="225"/>
      <c r="VF10" s="225"/>
      <c r="VG10" s="225"/>
      <c r="VH10" s="225"/>
      <c r="VI10" s="225"/>
      <c r="VJ10" s="225"/>
      <c r="VK10" s="225"/>
      <c r="VL10" s="225"/>
      <c r="VM10" s="225"/>
      <c r="VN10" s="225"/>
      <c r="VO10" s="225"/>
      <c r="VP10" s="225"/>
      <c r="VQ10" s="225"/>
      <c r="VR10" s="225"/>
      <c r="VS10" s="225"/>
      <c r="VT10" s="225"/>
      <c r="VU10" s="225"/>
      <c r="VV10" s="225"/>
      <c r="VW10" s="225"/>
      <c r="VX10" s="225"/>
      <c r="VY10" s="225"/>
      <c r="VZ10" s="225"/>
      <c r="WA10" s="225"/>
      <c r="WB10" s="225"/>
      <c r="WC10" s="225"/>
      <c r="WD10" s="225"/>
      <c r="WE10" s="225"/>
      <c r="WF10" s="225"/>
      <c r="WG10" s="225"/>
      <c r="WH10" s="225"/>
      <c r="WI10" s="225"/>
      <c r="WJ10" s="225"/>
      <c r="WK10" s="225"/>
      <c r="WL10" s="225"/>
      <c r="WM10" s="225"/>
      <c r="WN10" s="225"/>
      <c r="WO10" s="225"/>
      <c r="WP10" s="225"/>
      <c r="WQ10" s="225"/>
      <c r="WR10" s="225"/>
      <c r="WS10" s="225"/>
      <c r="WT10" s="225"/>
      <c r="WU10" s="225"/>
      <c r="WV10" s="225"/>
      <c r="WW10" s="225"/>
      <c r="WX10" s="225"/>
      <c r="WY10" s="225"/>
      <c r="WZ10" s="225"/>
      <c r="XA10" s="225"/>
      <c r="XB10" s="225"/>
      <c r="XC10" s="225"/>
      <c r="XD10" s="225"/>
      <c r="XE10" s="225"/>
      <c r="XF10" s="225"/>
      <c r="XG10" s="225"/>
      <c r="XH10" s="225"/>
      <c r="XI10" s="225"/>
      <c r="XJ10" s="225"/>
      <c r="XK10" s="225"/>
      <c r="XL10" s="225"/>
      <c r="XM10" s="225"/>
      <c r="XN10" s="225"/>
      <c r="XO10" s="225"/>
      <c r="XP10" s="225"/>
      <c r="XQ10" s="225"/>
      <c r="XR10" s="225"/>
      <c r="XS10" s="225"/>
      <c r="XT10" s="225"/>
      <c r="XU10" s="225"/>
      <c r="XV10" s="225"/>
      <c r="XW10" s="225"/>
      <c r="XX10" s="225"/>
      <c r="XY10" s="225"/>
      <c r="XZ10" s="225"/>
      <c r="YA10" s="225"/>
      <c r="YB10" s="225"/>
      <c r="YC10" s="225"/>
      <c r="YD10" s="225"/>
      <c r="YE10" s="225"/>
      <c r="YF10" s="225"/>
      <c r="YG10" s="225"/>
      <c r="YH10" s="225"/>
      <c r="YI10" s="225"/>
      <c r="YJ10" s="225"/>
      <c r="YK10" s="225"/>
      <c r="YL10" s="225"/>
      <c r="YM10" s="225"/>
      <c r="YN10" s="225"/>
      <c r="YO10" s="225"/>
      <c r="YP10" s="225"/>
      <c r="YQ10" s="225"/>
      <c r="YR10" s="225"/>
      <c r="YS10" s="225"/>
      <c r="YT10" s="225"/>
      <c r="YU10" s="225"/>
      <c r="YV10" s="225"/>
      <c r="YW10" s="225"/>
      <c r="YX10" s="225"/>
      <c r="YY10" s="225"/>
      <c r="YZ10" s="225"/>
      <c r="ZA10" s="225"/>
      <c r="ZB10" s="225"/>
      <c r="ZC10" s="225"/>
      <c r="ZD10" s="225"/>
      <c r="ZE10" s="225"/>
      <c r="ZF10" s="225"/>
      <c r="ZG10" s="225"/>
      <c r="ZH10" s="225"/>
      <c r="ZI10" s="225"/>
      <c r="ZJ10" s="225"/>
      <c r="ZK10" s="225"/>
      <c r="ZL10" s="225"/>
      <c r="ZM10" s="225"/>
      <c r="ZN10" s="225"/>
      <c r="ZO10" s="225"/>
      <c r="ZP10" s="225"/>
      <c r="ZQ10" s="225"/>
      <c r="ZR10" s="225"/>
      <c r="ZS10" s="225"/>
      <c r="ZT10" s="225"/>
      <c r="ZU10" s="225"/>
      <c r="ZV10" s="225"/>
      <c r="ZW10" s="225"/>
      <c r="ZX10" s="225"/>
      <c r="ZY10" s="225"/>
      <c r="ZZ10" s="225"/>
      <c r="AAA10" s="225"/>
      <c r="AAB10" s="225"/>
      <c r="AAC10" s="225"/>
      <c r="AAD10" s="225"/>
      <c r="AAE10" s="225"/>
      <c r="AAF10" s="225"/>
      <c r="AAG10" s="225"/>
      <c r="AAH10" s="225"/>
      <c r="AAI10" s="225"/>
      <c r="AAJ10" s="225"/>
      <c r="AAK10" s="225"/>
      <c r="AAL10" s="225"/>
      <c r="AAM10" s="225"/>
      <c r="AAN10" s="225"/>
      <c r="AAO10" s="225"/>
      <c r="AAP10" s="225"/>
      <c r="AAQ10" s="225"/>
      <c r="AAR10" s="225"/>
      <c r="AAS10" s="225"/>
      <c r="AAT10" s="225"/>
      <c r="AAU10" s="225"/>
      <c r="AAV10" s="225"/>
      <c r="AAW10" s="225"/>
      <c r="AAX10" s="225"/>
      <c r="AAY10" s="225"/>
      <c r="AAZ10" s="225"/>
      <c r="ABA10" s="225"/>
      <c r="ABB10" s="225"/>
      <c r="ABC10" s="225"/>
      <c r="ABD10" s="225"/>
      <c r="ABE10" s="225"/>
      <c r="ABF10" s="225"/>
      <c r="ABG10" s="225"/>
      <c r="ABH10" s="225"/>
      <c r="ABI10" s="225"/>
      <c r="ABJ10" s="225"/>
      <c r="ABK10" s="225"/>
      <c r="ABL10" s="225"/>
      <c r="ABM10" s="225"/>
      <c r="ABN10" s="225"/>
      <c r="ABO10" s="225"/>
      <c r="ABP10" s="225"/>
      <c r="ABQ10" s="225"/>
      <c r="ABR10" s="225"/>
      <c r="ABS10" s="225"/>
      <c r="ABT10" s="225"/>
      <c r="ABU10" s="225"/>
      <c r="ABV10" s="225"/>
      <c r="ABW10" s="225"/>
      <c r="ABX10" s="225"/>
      <c r="ABY10" s="225"/>
      <c r="ABZ10" s="225"/>
      <c r="ACA10" s="225"/>
      <c r="ACB10" s="225"/>
      <c r="ACC10" s="225"/>
      <c r="ACD10" s="225"/>
      <c r="ACE10" s="225"/>
      <c r="ACF10" s="225"/>
      <c r="ACG10" s="225"/>
      <c r="ACH10" s="225"/>
      <c r="ACI10" s="225"/>
      <c r="ACJ10" s="225"/>
      <c r="ACK10" s="225"/>
      <c r="ACL10" s="225"/>
      <c r="ACM10" s="225"/>
      <c r="ACN10" s="225"/>
      <c r="ACO10" s="225"/>
      <c r="ACP10" s="225"/>
      <c r="ACQ10" s="225"/>
      <c r="ACR10" s="225"/>
      <c r="ACS10" s="225"/>
      <c r="ACT10" s="225"/>
      <c r="ACU10" s="225"/>
      <c r="ACV10" s="225"/>
      <c r="ACW10" s="225"/>
      <c r="ACX10" s="225"/>
      <c r="ACY10" s="225"/>
      <c r="ACZ10" s="225"/>
      <c r="ADA10" s="225"/>
      <c r="ADB10" s="225"/>
      <c r="ADC10" s="225"/>
      <c r="ADD10" s="225"/>
      <c r="ADE10" s="225"/>
      <c r="ADF10" s="225"/>
      <c r="ADG10" s="225"/>
      <c r="ADH10" s="225"/>
      <c r="ADI10" s="225"/>
      <c r="ADJ10" s="225"/>
      <c r="ADK10" s="225"/>
      <c r="ADL10" s="225"/>
      <c r="ADM10" s="225"/>
      <c r="ADN10" s="225"/>
      <c r="ADO10" s="225"/>
      <c r="ADP10" s="225"/>
      <c r="ADQ10" s="225"/>
      <c r="ADR10" s="225"/>
      <c r="ADS10" s="225"/>
      <c r="ADT10" s="225"/>
      <c r="ADU10" s="225"/>
      <c r="ADV10" s="225"/>
      <c r="ADW10" s="225"/>
      <c r="ADX10" s="225"/>
      <c r="ADY10" s="225"/>
      <c r="ADZ10" s="225"/>
      <c r="AEA10" s="225"/>
      <c r="AEB10" s="225"/>
      <c r="AEC10" s="225"/>
      <c r="AED10" s="225"/>
      <c r="AEE10" s="225"/>
      <c r="AEF10" s="225"/>
      <c r="AEG10" s="225"/>
      <c r="AEH10" s="225"/>
      <c r="AEI10" s="225"/>
      <c r="AEJ10" s="225"/>
      <c r="AEK10" s="225"/>
      <c r="AEL10" s="225"/>
      <c r="AEM10" s="225"/>
      <c r="AEN10" s="225"/>
      <c r="AEO10" s="225"/>
      <c r="AEP10" s="225"/>
      <c r="AEQ10" s="225"/>
      <c r="AER10" s="225"/>
      <c r="AES10" s="225"/>
      <c r="AET10" s="225"/>
      <c r="AEU10" s="225"/>
      <c r="AEV10" s="225"/>
      <c r="AEW10" s="225"/>
      <c r="AEX10" s="225"/>
      <c r="AEY10" s="225"/>
      <c r="AEZ10" s="225"/>
      <c r="AFA10" s="225"/>
      <c r="AFB10" s="225"/>
      <c r="AFC10" s="225"/>
      <c r="AFD10" s="225"/>
      <c r="AFE10" s="225"/>
      <c r="AFF10" s="225"/>
      <c r="AFG10" s="225"/>
      <c r="AFH10" s="225"/>
      <c r="AFI10" s="225"/>
      <c r="AFJ10" s="225"/>
      <c r="AFK10" s="225"/>
      <c r="AFL10" s="225"/>
      <c r="AFM10" s="225"/>
      <c r="AFN10" s="225"/>
      <c r="AFO10" s="225"/>
      <c r="AFP10" s="225"/>
      <c r="AFQ10" s="225"/>
      <c r="AFR10" s="225"/>
      <c r="AFS10" s="225"/>
      <c r="AFT10" s="225"/>
      <c r="AFU10" s="225"/>
      <c r="AFV10" s="225"/>
      <c r="AFW10" s="225"/>
      <c r="AFX10" s="225"/>
      <c r="AFY10" s="225"/>
      <c r="AFZ10" s="225"/>
      <c r="AGA10" s="225"/>
      <c r="AGB10" s="225"/>
      <c r="AGC10" s="225"/>
      <c r="AGD10" s="225"/>
      <c r="AGE10" s="225"/>
      <c r="AGF10" s="225"/>
      <c r="AGG10" s="225"/>
      <c r="AGH10" s="225"/>
      <c r="AGI10" s="225"/>
      <c r="AGJ10" s="225"/>
      <c r="AGK10" s="225"/>
      <c r="AGL10" s="225"/>
      <c r="AGM10" s="225"/>
      <c r="AGN10" s="225"/>
      <c r="AGO10" s="225"/>
      <c r="AGP10" s="225"/>
      <c r="AGQ10" s="225"/>
      <c r="AGR10" s="225"/>
      <c r="AGS10" s="225"/>
      <c r="AGT10" s="225"/>
      <c r="AGU10" s="225"/>
      <c r="AGV10" s="225"/>
      <c r="AGW10" s="225"/>
      <c r="AGX10" s="225"/>
      <c r="AGY10" s="225"/>
      <c r="AGZ10" s="225"/>
      <c r="AHA10" s="225"/>
      <c r="AHB10" s="225"/>
      <c r="AHC10" s="225"/>
      <c r="AHD10" s="225"/>
      <c r="AHE10" s="225"/>
      <c r="AHF10" s="225"/>
      <c r="AHG10" s="225"/>
      <c r="AHH10" s="225"/>
      <c r="AHI10" s="225"/>
      <c r="AHJ10" s="225"/>
      <c r="AHK10" s="225"/>
      <c r="AHL10" s="225"/>
      <c r="AHM10" s="225"/>
      <c r="AHN10" s="225"/>
      <c r="AHO10" s="225"/>
      <c r="AHP10" s="225"/>
      <c r="AHQ10" s="225"/>
      <c r="AHR10" s="225"/>
      <c r="AHS10" s="225"/>
      <c r="AHT10" s="225"/>
      <c r="AHU10" s="225"/>
      <c r="AHV10" s="225"/>
      <c r="AHW10" s="225"/>
      <c r="AHX10" s="225"/>
      <c r="AHY10" s="225"/>
      <c r="AHZ10" s="225"/>
      <c r="AIA10" s="225"/>
      <c r="AIB10" s="225"/>
      <c r="AIC10" s="225"/>
      <c r="AID10" s="225"/>
      <c r="AIE10" s="225"/>
      <c r="AIF10" s="225"/>
      <c r="AIG10" s="225"/>
      <c r="AIH10" s="225"/>
      <c r="AII10" s="225"/>
      <c r="AIJ10" s="225"/>
      <c r="AIK10" s="225"/>
      <c r="AIL10" s="225"/>
      <c r="AIM10" s="225"/>
      <c r="AIN10" s="225"/>
      <c r="AIO10" s="225"/>
      <c r="AIP10" s="225"/>
      <c r="AIQ10" s="225"/>
      <c r="AIR10" s="225"/>
      <c r="AIS10" s="225"/>
      <c r="AIT10" s="225"/>
      <c r="AIU10" s="225"/>
      <c r="AIV10" s="225"/>
      <c r="AIW10" s="225"/>
      <c r="AIX10" s="225"/>
      <c r="AIY10" s="225"/>
      <c r="AIZ10" s="225"/>
      <c r="AJA10" s="225"/>
      <c r="AJB10" s="225"/>
      <c r="AJC10" s="225"/>
      <c r="AJD10" s="225"/>
      <c r="AJE10" s="225"/>
      <c r="AJF10" s="225"/>
      <c r="AJG10" s="225"/>
      <c r="AJH10" s="225"/>
      <c r="AJI10" s="225"/>
      <c r="AJJ10" s="225"/>
      <c r="AJK10" s="225"/>
      <c r="AJL10" s="225"/>
      <c r="AJM10" s="225"/>
      <c r="AJN10" s="225"/>
      <c r="AJO10" s="225"/>
      <c r="AJP10" s="225"/>
      <c r="AJQ10" s="225"/>
      <c r="AJR10" s="225"/>
      <c r="AJS10" s="225"/>
      <c r="AJT10" s="225"/>
      <c r="AJU10" s="225"/>
      <c r="AJV10" s="225"/>
      <c r="AJW10" s="225"/>
      <c r="AJX10" s="225"/>
      <c r="AJY10" s="225"/>
      <c r="AJZ10" s="225"/>
      <c r="AKA10" s="225"/>
      <c r="AKB10" s="225"/>
      <c r="AKC10" s="225"/>
      <c r="AKD10" s="225"/>
      <c r="AKE10" s="225"/>
      <c r="AKF10" s="225"/>
      <c r="AKG10" s="225"/>
      <c r="AKH10" s="225"/>
      <c r="AKI10" s="225"/>
      <c r="AKJ10" s="225"/>
      <c r="AKK10" s="225"/>
      <c r="AKL10" s="225"/>
      <c r="AKM10" s="225"/>
      <c r="AKN10" s="225"/>
      <c r="AKO10" s="225"/>
      <c r="AKP10" s="225"/>
      <c r="AKQ10" s="225"/>
      <c r="AKR10" s="225"/>
      <c r="AKS10" s="225"/>
      <c r="AKT10" s="225"/>
      <c r="AKU10" s="225"/>
      <c r="AKV10" s="225"/>
      <c r="AKW10" s="225"/>
      <c r="AKX10" s="225"/>
      <c r="AKY10" s="225"/>
      <c r="AKZ10" s="225"/>
      <c r="ALA10" s="225"/>
      <c r="ALB10" s="225"/>
      <c r="ALC10" s="225"/>
      <c r="ALD10" s="225"/>
      <c r="ALE10" s="225"/>
      <c r="ALF10" s="225"/>
      <c r="ALG10" s="225"/>
      <c r="ALH10" s="225"/>
      <c r="ALI10" s="225"/>
      <c r="ALJ10" s="225"/>
      <c r="ALK10" s="225"/>
      <c r="ALL10" s="225"/>
      <c r="ALM10" s="225"/>
      <c r="ALN10" s="225"/>
      <c r="ALO10" s="225"/>
      <c r="ALP10" s="225"/>
      <c r="ALQ10" s="225"/>
      <c r="ALR10" s="225"/>
      <c r="ALS10" s="225"/>
      <c r="ALT10" s="225"/>
      <c r="ALU10" s="225"/>
      <c r="ALV10" s="225"/>
      <c r="ALW10" s="225"/>
      <c r="ALX10" s="225"/>
      <c r="ALY10" s="225"/>
      <c r="ALZ10" s="225"/>
      <c r="AMA10" s="225"/>
      <c r="AMB10" s="225"/>
      <c r="AMC10" s="225"/>
      <c r="AMD10" s="225"/>
      <c r="AME10" s="225"/>
      <c r="AMF10" s="225"/>
      <c r="AMG10" s="225"/>
      <c r="AMH10" s="225"/>
      <c r="AMI10" s="225"/>
      <c r="AMJ10" s="225"/>
      <c r="AMK10" s="225"/>
      <c r="AML10" s="225"/>
      <c r="AMM10" s="225"/>
      <c r="AMN10" s="225"/>
      <c r="AMO10" s="225"/>
      <c r="AMP10" s="225"/>
      <c r="AMQ10" s="225"/>
      <c r="AMR10" s="225"/>
      <c r="AMS10" s="225"/>
      <c r="AMT10" s="225"/>
      <c r="AMU10" s="225"/>
      <c r="AMV10" s="225"/>
      <c r="AMW10" s="225"/>
      <c r="AMX10" s="225"/>
      <c r="AMY10" s="225"/>
      <c r="AMZ10" s="225"/>
      <c r="ANA10" s="225"/>
      <c r="ANB10" s="225"/>
      <c r="ANC10" s="225"/>
      <c r="AND10" s="225"/>
      <c r="ANE10" s="225"/>
      <c r="ANF10" s="225"/>
      <c r="ANG10" s="225"/>
      <c r="ANH10" s="225"/>
      <c r="ANI10" s="225"/>
      <c r="ANJ10" s="225"/>
      <c r="ANK10" s="225"/>
      <c r="ANL10" s="225"/>
      <c r="ANM10" s="225"/>
      <c r="ANN10" s="225"/>
      <c r="ANO10" s="225"/>
      <c r="ANP10" s="225"/>
      <c r="ANQ10" s="225"/>
      <c r="ANR10" s="225"/>
      <c r="ANS10" s="225"/>
      <c r="ANT10" s="225"/>
      <c r="ANU10" s="225"/>
      <c r="ANV10" s="225"/>
      <c r="ANW10" s="225"/>
      <c r="ANX10" s="225"/>
      <c r="ANY10" s="225"/>
      <c r="ANZ10" s="225"/>
      <c r="AOA10" s="225"/>
      <c r="AOB10" s="225"/>
      <c r="AOC10" s="225"/>
      <c r="AOD10" s="225"/>
      <c r="AOE10" s="225"/>
      <c r="AOF10" s="225"/>
      <c r="AOG10" s="225"/>
      <c r="AOH10" s="225"/>
      <c r="AOI10" s="225"/>
      <c r="AOJ10" s="225"/>
      <c r="AOK10" s="225"/>
      <c r="AOL10" s="225"/>
      <c r="AOM10" s="225"/>
      <c r="AON10" s="225"/>
      <c r="AOO10" s="225"/>
      <c r="AOP10" s="225"/>
      <c r="AOQ10" s="225"/>
      <c r="AOR10" s="225"/>
      <c r="AOS10" s="225"/>
      <c r="AOT10" s="225"/>
      <c r="AOU10" s="225"/>
      <c r="AOV10" s="225"/>
      <c r="AOW10" s="225"/>
      <c r="AOX10" s="225"/>
      <c r="AOY10" s="225"/>
      <c r="AOZ10" s="225"/>
      <c r="APA10" s="225"/>
      <c r="APB10" s="225"/>
      <c r="APC10" s="225"/>
      <c r="APD10" s="225"/>
      <c r="APE10" s="225"/>
      <c r="APF10" s="225"/>
      <c r="APG10" s="225"/>
      <c r="APH10" s="225"/>
      <c r="API10" s="225"/>
      <c r="APJ10" s="225"/>
      <c r="APK10" s="225"/>
      <c r="APL10" s="225"/>
      <c r="APM10" s="225"/>
      <c r="APN10" s="225"/>
      <c r="APO10" s="225"/>
      <c r="APP10" s="225"/>
      <c r="APQ10" s="225"/>
      <c r="APR10" s="225"/>
      <c r="APS10" s="225"/>
      <c r="APT10" s="225"/>
      <c r="APU10" s="225"/>
      <c r="APV10" s="225"/>
      <c r="APW10" s="225"/>
      <c r="APX10" s="225"/>
      <c r="APY10" s="225"/>
      <c r="APZ10" s="225"/>
      <c r="AQA10" s="225"/>
      <c r="AQB10" s="225"/>
      <c r="AQC10" s="225"/>
      <c r="AQD10" s="225"/>
      <c r="AQE10" s="225"/>
      <c r="AQF10" s="225"/>
      <c r="AQG10" s="225"/>
      <c r="AQH10" s="225"/>
      <c r="AQI10" s="225"/>
      <c r="AQJ10" s="225"/>
      <c r="AQK10" s="225"/>
      <c r="AQL10" s="225"/>
      <c r="AQM10" s="225"/>
      <c r="AQN10" s="225"/>
      <c r="AQO10" s="225"/>
      <c r="AQP10" s="225"/>
      <c r="AQQ10" s="225"/>
      <c r="AQR10" s="225"/>
      <c r="AQS10" s="225"/>
      <c r="AQT10" s="225"/>
      <c r="AQU10" s="225"/>
      <c r="AQV10" s="225"/>
      <c r="AQW10" s="225"/>
      <c r="AQX10" s="225"/>
      <c r="AQY10" s="225"/>
      <c r="AQZ10" s="225"/>
      <c r="ARA10" s="225"/>
      <c r="ARB10" s="225"/>
      <c r="ARC10" s="225"/>
      <c r="ARD10" s="225"/>
      <c r="ARE10" s="225"/>
      <c r="ARF10" s="225"/>
      <c r="ARG10" s="225"/>
      <c r="ARH10" s="225"/>
      <c r="ARI10" s="225"/>
      <c r="ARJ10" s="225"/>
      <c r="ARK10" s="225"/>
      <c r="ARL10" s="225"/>
      <c r="ARM10" s="225"/>
      <c r="ARN10" s="225"/>
      <c r="ARO10" s="225"/>
      <c r="ARP10" s="225"/>
      <c r="ARQ10" s="225"/>
      <c r="ARR10" s="225"/>
      <c r="ARS10" s="225"/>
      <c r="ART10" s="225"/>
      <c r="ARU10" s="225"/>
      <c r="ARV10" s="225"/>
      <c r="ARW10" s="225"/>
      <c r="ARX10" s="225"/>
      <c r="ARY10" s="225"/>
      <c r="ARZ10" s="225"/>
      <c r="ASA10" s="225"/>
      <c r="ASB10" s="225"/>
      <c r="ASC10" s="225"/>
      <c r="ASD10" s="225"/>
      <c r="ASE10" s="225"/>
      <c r="ASF10" s="225"/>
      <c r="ASG10" s="225"/>
      <c r="ASH10" s="225"/>
      <c r="ASI10" s="225"/>
      <c r="ASJ10" s="225"/>
      <c r="ASK10" s="225"/>
      <c r="ASL10" s="225"/>
      <c r="ASM10" s="225"/>
      <c r="ASN10" s="225"/>
      <c r="ASO10" s="225"/>
      <c r="ASP10" s="225"/>
      <c r="ASQ10" s="225"/>
      <c r="ASR10" s="225"/>
      <c r="ASS10" s="225"/>
      <c r="AST10" s="225"/>
      <c r="ASU10" s="225"/>
      <c r="ASV10" s="225"/>
      <c r="ASW10" s="225"/>
      <c r="ASX10" s="225"/>
      <c r="ASY10" s="225"/>
      <c r="ASZ10" s="225"/>
      <c r="ATA10" s="225"/>
      <c r="ATB10" s="225"/>
      <c r="ATC10" s="225"/>
      <c r="ATD10" s="225"/>
      <c r="ATE10" s="225"/>
      <c r="ATF10" s="225"/>
      <c r="ATG10" s="225"/>
      <c r="ATH10" s="225"/>
      <c r="ATI10" s="225"/>
      <c r="ATJ10" s="225"/>
      <c r="ATK10" s="225"/>
      <c r="ATL10" s="225"/>
      <c r="ATM10" s="225"/>
      <c r="ATN10" s="225"/>
      <c r="ATO10" s="225"/>
      <c r="ATP10" s="225"/>
      <c r="ATQ10" s="225"/>
      <c r="ATR10" s="225"/>
      <c r="ATS10" s="225"/>
      <c r="ATT10" s="225"/>
      <c r="ATU10" s="225"/>
      <c r="ATV10" s="225"/>
      <c r="ATW10" s="225"/>
      <c r="ATX10" s="225"/>
      <c r="ATY10" s="225"/>
      <c r="ATZ10" s="225"/>
      <c r="AUA10" s="225"/>
      <c r="AUB10" s="225"/>
      <c r="AUC10" s="225"/>
      <c r="AUD10" s="225"/>
      <c r="AUE10" s="225"/>
      <c r="AUF10" s="225"/>
      <c r="AUG10" s="225"/>
      <c r="AUH10" s="225"/>
      <c r="AUI10" s="225"/>
      <c r="AUJ10" s="225"/>
      <c r="AUK10" s="225"/>
      <c r="AUL10" s="225"/>
      <c r="AUM10" s="225"/>
      <c r="AUN10" s="225"/>
      <c r="AUO10" s="225"/>
      <c r="AUP10" s="225"/>
      <c r="AUQ10" s="225"/>
      <c r="AUR10" s="225"/>
      <c r="AUS10" s="225"/>
      <c r="AUT10" s="225"/>
      <c r="AUU10" s="225"/>
      <c r="AUV10" s="225"/>
      <c r="AUW10" s="225"/>
      <c r="AUX10" s="225"/>
      <c r="AUY10" s="225"/>
      <c r="AUZ10" s="225"/>
      <c r="AVA10" s="225"/>
      <c r="AVB10" s="225"/>
      <c r="AVC10" s="225"/>
      <c r="AVD10" s="225"/>
      <c r="AVE10" s="225"/>
      <c r="AVF10" s="225"/>
      <c r="AVG10" s="225"/>
      <c r="AVH10" s="225"/>
      <c r="AVI10" s="225"/>
      <c r="AVJ10" s="225"/>
      <c r="AVK10" s="225"/>
      <c r="AVL10" s="225"/>
      <c r="AVM10" s="225"/>
      <c r="AVN10" s="225"/>
      <c r="AVO10" s="225"/>
      <c r="AVP10" s="225"/>
      <c r="AVQ10" s="225"/>
      <c r="AVR10" s="225"/>
      <c r="AVS10" s="225"/>
      <c r="AVT10" s="225"/>
      <c r="AVU10" s="225"/>
      <c r="AVV10" s="225"/>
      <c r="AVW10" s="225"/>
      <c r="AVX10" s="225"/>
      <c r="AVY10" s="225"/>
      <c r="AVZ10" s="225"/>
      <c r="AWA10" s="225"/>
      <c r="AWB10" s="225"/>
      <c r="AWC10" s="225"/>
      <c r="AWD10" s="225"/>
      <c r="AWE10" s="225"/>
      <c r="AWF10" s="225"/>
      <c r="AWG10" s="225"/>
      <c r="AWH10" s="225"/>
      <c r="AWI10" s="225"/>
      <c r="AWJ10" s="225"/>
      <c r="AWK10" s="225"/>
      <c r="AWL10" s="225"/>
      <c r="AWM10" s="225"/>
      <c r="AWN10" s="225"/>
      <c r="AWO10" s="225"/>
      <c r="AWP10" s="225"/>
      <c r="AWQ10" s="225"/>
      <c r="AWR10" s="225"/>
      <c r="AWS10" s="225"/>
      <c r="AWT10" s="225"/>
      <c r="AWU10" s="225"/>
      <c r="AWV10" s="225"/>
      <c r="AWW10" s="225"/>
      <c r="AWX10" s="225"/>
      <c r="AWY10" s="225"/>
      <c r="AWZ10" s="225"/>
      <c r="AXA10" s="225"/>
      <c r="AXB10" s="225"/>
      <c r="AXC10" s="225"/>
      <c r="AXD10" s="225"/>
      <c r="AXE10" s="225"/>
      <c r="AXF10" s="225"/>
      <c r="AXG10" s="225"/>
      <c r="AXH10" s="225"/>
      <c r="AXI10" s="225"/>
      <c r="AXJ10" s="225"/>
      <c r="AXK10" s="225"/>
      <c r="AXL10" s="225"/>
      <c r="AXM10" s="225"/>
      <c r="AXN10" s="225"/>
      <c r="AXO10" s="225"/>
      <c r="AXP10" s="225"/>
      <c r="AXQ10" s="225"/>
      <c r="AXR10" s="225"/>
      <c r="AXS10" s="225"/>
      <c r="AXT10" s="225"/>
      <c r="AXU10" s="225"/>
      <c r="AXV10" s="225"/>
      <c r="AXW10" s="225"/>
      <c r="AXX10" s="225"/>
      <c r="AXY10" s="225"/>
      <c r="AXZ10" s="225"/>
      <c r="AYA10" s="225"/>
      <c r="AYB10" s="225"/>
      <c r="AYC10" s="225"/>
      <c r="AYD10" s="225"/>
      <c r="AYE10" s="225"/>
      <c r="AYF10" s="225"/>
      <c r="AYG10" s="225"/>
      <c r="AYH10" s="225"/>
      <c r="AYI10" s="225"/>
      <c r="AYJ10" s="225"/>
      <c r="AYK10" s="225"/>
      <c r="AYL10" s="225"/>
      <c r="AYM10" s="225"/>
      <c r="AYN10" s="225"/>
      <c r="AYO10" s="225"/>
      <c r="AYP10" s="225"/>
      <c r="AYQ10" s="225"/>
      <c r="AYR10" s="225"/>
      <c r="AYS10" s="225"/>
      <c r="AYT10" s="225"/>
      <c r="AYU10" s="225"/>
      <c r="AYV10" s="225"/>
      <c r="AYW10" s="225"/>
      <c r="AYX10" s="225"/>
      <c r="AYY10" s="225"/>
      <c r="AYZ10" s="225"/>
      <c r="AZA10" s="225"/>
      <c r="AZB10" s="225"/>
      <c r="AZC10" s="225"/>
      <c r="AZD10" s="225"/>
      <c r="AZE10" s="225"/>
      <c r="AZF10" s="225"/>
      <c r="AZG10" s="225"/>
      <c r="AZH10" s="225"/>
      <c r="AZI10" s="225"/>
      <c r="AZJ10" s="225"/>
      <c r="AZK10" s="225"/>
      <c r="AZL10" s="225"/>
      <c r="AZM10" s="225"/>
      <c r="AZN10" s="225"/>
      <c r="AZO10" s="225"/>
      <c r="AZP10" s="225"/>
      <c r="AZQ10" s="225"/>
      <c r="AZR10" s="225"/>
      <c r="AZS10" s="225"/>
      <c r="AZT10" s="225"/>
      <c r="AZU10" s="225"/>
      <c r="AZV10" s="225"/>
      <c r="AZW10" s="225"/>
      <c r="AZX10" s="225"/>
      <c r="AZY10" s="225"/>
      <c r="AZZ10" s="225"/>
      <c r="BAA10" s="225"/>
      <c r="BAB10" s="225"/>
      <c r="BAC10" s="225"/>
      <c r="BAD10" s="225"/>
      <c r="BAE10" s="225"/>
      <c r="BAF10" s="225"/>
      <c r="BAG10" s="225"/>
      <c r="BAH10" s="225"/>
      <c r="BAI10" s="225"/>
      <c r="BAJ10" s="225"/>
      <c r="BAK10" s="225"/>
      <c r="BAL10" s="225"/>
      <c r="BAM10" s="225"/>
      <c r="BAN10" s="225"/>
      <c r="BAO10" s="225"/>
      <c r="BAP10" s="225"/>
      <c r="BAQ10" s="225"/>
      <c r="BAR10" s="225"/>
      <c r="BAS10" s="225"/>
      <c r="BAT10" s="225"/>
      <c r="BAU10" s="225"/>
      <c r="BAV10" s="225"/>
      <c r="BAW10" s="225"/>
      <c r="BAX10" s="225"/>
      <c r="BAY10" s="225"/>
      <c r="BAZ10" s="225"/>
      <c r="BBA10" s="225"/>
      <c r="BBB10" s="225"/>
      <c r="BBC10" s="225"/>
      <c r="BBD10" s="225"/>
      <c r="BBE10" s="225"/>
      <c r="BBF10" s="225"/>
      <c r="BBG10" s="225"/>
      <c r="BBH10" s="225"/>
      <c r="BBI10" s="225"/>
      <c r="BBJ10" s="225"/>
      <c r="BBK10" s="225"/>
      <c r="BBL10" s="225"/>
      <c r="BBM10" s="225"/>
      <c r="BBN10" s="225"/>
      <c r="BBO10" s="225"/>
      <c r="BBP10" s="225"/>
      <c r="BBQ10" s="225"/>
      <c r="BBR10" s="225"/>
      <c r="BBS10" s="225"/>
      <c r="BBT10" s="225"/>
      <c r="BBU10" s="225"/>
      <c r="BBV10" s="225"/>
      <c r="BBW10" s="225"/>
      <c r="BBX10" s="225"/>
      <c r="BBY10" s="225"/>
      <c r="BBZ10" s="225"/>
      <c r="BCA10" s="225"/>
      <c r="BCB10" s="225"/>
      <c r="BCC10" s="225"/>
      <c r="BCD10" s="225"/>
      <c r="BCE10" s="225"/>
      <c r="BCF10" s="225"/>
      <c r="BCG10" s="225"/>
      <c r="BCH10" s="225"/>
      <c r="BCI10" s="225"/>
      <c r="BCJ10" s="225"/>
      <c r="BCK10" s="225"/>
      <c r="BCL10" s="225"/>
      <c r="BCM10" s="225"/>
      <c r="BCN10" s="225"/>
      <c r="BCO10" s="225"/>
      <c r="BCP10" s="225"/>
      <c r="BCQ10" s="225"/>
      <c r="BCR10" s="225"/>
      <c r="BCS10" s="225"/>
      <c r="BCT10" s="225"/>
      <c r="BCU10" s="225"/>
      <c r="BCV10" s="225"/>
      <c r="BCW10" s="225"/>
      <c r="BCX10" s="225"/>
      <c r="BCY10" s="225"/>
      <c r="BCZ10" s="225"/>
      <c r="BDA10" s="225"/>
      <c r="BDB10" s="225"/>
      <c r="BDC10" s="225"/>
      <c r="BDD10" s="225"/>
      <c r="BDE10" s="225"/>
      <c r="BDF10" s="225"/>
      <c r="BDG10" s="225"/>
      <c r="BDH10" s="225"/>
      <c r="BDI10" s="225"/>
      <c r="BDJ10" s="225"/>
      <c r="BDK10" s="225"/>
      <c r="BDL10" s="225"/>
      <c r="BDM10" s="225"/>
      <c r="BDN10" s="225"/>
      <c r="BDO10" s="225"/>
      <c r="BDP10" s="225"/>
      <c r="BDQ10" s="225"/>
      <c r="BDR10" s="225"/>
      <c r="BDS10" s="225"/>
      <c r="BDT10" s="225"/>
      <c r="BDU10" s="225"/>
      <c r="BDV10" s="225"/>
      <c r="BDW10" s="225"/>
      <c r="BDX10" s="225"/>
      <c r="BDY10" s="225"/>
      <c r="BDZ10" s="225"/>
      <c r="BEA10" s="225"/>
      <c r="BEB10" s="225"/>
      <c r="BEC10" s="225"/>
      <c r="BED10" s="225"/>
      <c r="BEE10" s="225"/>
      <c r="BEF10" s="225"/>
      <c r="BEG10" s="225"/>
      <c r="BEH10" s="225"/>
      <c r="BEI10" s="225"/>
      <c r="BEJ10" s="225"/>
      <c r="BEK10" s="225"/>
      <c r="BEL10" s="225"/>
      <c r="BEM10" s="225"/>
      <c r="BEN10" s="225"/>
      <c r="BEO10" s="225"/>
      <c r="BEP10" s="225"/>
      <c r="BEQ10" s="225"/>
      <c r="BER10" s="225"/>
      <c r="BES10" s="225"/>
      <c r="BET10" s="225"/>
      <c r="BEU10" s="225"/>
      <c r="BEV10" s="225"/>
      <c r="BEW10" s="225"/>
      <c r="BEX10" s="225"/>
      <c r="BEY10" s="225"/>
      <c r="BEZ10" s="225"/>
      <c r="BFA10" s="225"/>
      <c r="BFB10" s="225"/>
      <c r="BFC10" s="225"/>
      <c r="BFD10" s="225"/>
      <c r="BFE10" s="225"/>
      <c r="BFF10" s="225"/>
      <c r="BFG10" s="225"/>
      <c r="BFH10" s="225"/>
      <c r="BFI10" s="225"/>
      <c r="BFJ10" s="225"/>
      <c r="BFK10" s="225"/>
      <c r="BFL10" s="225"/>
      <c r="BFM10" s="225"/>
      <c r="BFN10" s="225"/>
      <c r="BFO10" s="225"/>
      <c r="BFP10" s="225"/>
      <c r="BFQ10" s="225"/>
      <c r="BFR10" s="225"/>
      <c r="BFS10" s="225"/>
      <c r="BFT10" s="225"/>
      <c r="BFU10" s="225"/>
      <c r="BFV10" s="225"/>
      <c r="BFW10" s="225"/>
      <c r="BFX10" s="225"/>
      <c r="BFY10" s="225"/>
      <c r="BFZ10" s="225"/>
      <c r="BGA10" s="225"/>
      <c r="BGB10" s="225"/>
      <c r="BGC10" s="225"/>
      <c r="BGD10" s="225"/>
      <c r="BGE10" s="225"/>
      <c r="BGF10" s="225"/>
      <c r="BGG10" s="225"/>
      <c r="BGH10" s="225"/>
      <c r="BGI10" s="225"/>
      <c r="BGJ10" s="225"/>
      <c r="BGK10" s="225"/>
      <c r="BGL10" s="225"/>
      <c r="BGM10" s="225"/>
      <c r="BGN10" s="225"/>
      <c r="BGO10" s="225"/>
      <c r="BGP10" s="225"/>
      <c r="BGQ10" s="225"/>
      <c r="BGR10" s="225"/>
      <c r="BGS10" s="225"/>
      <c r="BGT10" s="225"/>
      <c r="BGU10" s="225"/>
      <c r="BGV10" s="225"/>
      <c r="BGW10" s="225"/>
      <c r="BGX10" s="225"/>
      <c r="BGY10" s="225"/>
      <c r="BGZ10" s="225"/>
      <c r="BHA10" s="225"/>
      <c r="BHB10" s="225"/>
      <c r="BHC10" s="225"/>
      <c r="BHD10" s="225"/>
      <c r="BHE10" s="225"/>
      <c r="BHF10" s="225"/>
      <c r="BHG10" s="225"/>
      <c r="BHH10" s="225"/>
      <c r="BHI10" s="225"/>
      <c r="BHJ10" s="225"/>
      <c r="BHK10" s="225"/>
      <c r="BHL10" s="225"/>
      <c r="BHM10" s="225"/>
      <c r="BHN10" s="225"/>
      <c r="BHO10" s="225"/>
      <c r="BHP10" s="225"/>
      <c r="BHQ10" s="225"/>
      <c r="BHR10" s="225"/>
      <c r="BHS10" s="225"/>
      <c r="BHT10" s="225"/>
      <c r="BHU10" s="225"/>
      <c r="BHV10" s="225"/>
      <c r="BHW10" s="225"/>
      <c r="BHX10" s="225"/>
      <c r="BHY10" s="225"/>
      <c r="BHZ10" s="225"/>
      <c r="BIA10" s="225"/>
      <c r="BIB10" s="225"/>
      <c r="BIC10" s="225"/>
      <c r="BID10" s="225"/>
      <c r="BIE10" s="225"/>
      <c r="BIF10" s="225"/>
      <c r="BIG10" s="225"/>
      <c r="BIH10" s="225"/>
      <c r="BII10" s="225"/>
      <c r="BIJ10" s="225"/>
      <c r="BIK10" s="225"/>
      <c r="BIL10" s="225"/>
      <c r="BIM10" s="225"/>
      <c r="BIN10" s="225"/>
      <c r="BIO10" s="225"/>
      <c r="BIP10" s="225"/>
      <c r="BIQ10" s="225"/>
      <c r="BIR10" s="225"/>
      <c r="BIS10" s="225"/>
      <c r="BIT10" s="225"/>
      <c r="BIU10" s="225"/>
      <c r="BIV10" s="225"/>
      <c r="BIW10" s="225"/>
      <c r="BIX10" s="225"/>
      <c r="BIY10" s="225"/>
      <c r="BIZ10" s="225"/>
      <c r="BJA10" s="225"/>
      <c r="BJB10" s="225"/>
      <c r="BJC10" s="225"/>
      <c r="BJD10" s="225"/>
      <c r="BJE10" s="225"/>
      <c r="BJF10" s="225"/>
      <c r="BJG10" s="225"/>
      <c r="BJH10" s="225"/>
      <c r="BJI10" s="225"/>
      <c r="BJJ10" s="225"/>
      <c r="BJK10" s="225"/>
      <c r="BJL10" s="225"/>
      <c r="BJM10" s="225"/>
      <c r="BJN10" s="225"/>
      <c r="BJO10" s="225"/>
      <c r="BJP10" s="225"/>
      <c r="BJQ10" s="225"/>
      <c r="BJR10" s="225"/>
      <c r="BJS10" s="225"/>
      <c r="BJT10" s="225"/>
      <c r="BJU10" s="225"/>
      <c r="BJV10" s="225"/>
      <c r="BJW10" s="225"/>
      <c r="BJX10" s="225"/>
      <c r="BJY10" s="225"/>
      <c r="BJZ10" s="225"/>
      <c r="BKA10" s="225"/>
      <c r="BKB10" s="225"/>
      <c r="BKC10" s="225"/>
      <c r="BKD10" s="225"/>
      <c r="BKE10" s="225"/>
      <c r="BKF10" s="225"/>
      <c r="BKG10" s="225"/>
      <c r="BKH10" s="225"/>
      <c r="BKI10" s="225"/>
      <c r="BKJ10" s="225"/>
      <c r="BKK10" s="225"/>
      <c r="BKL10" s="225"/>
      <c r="BKM10" s="225"/>
      <c r="BKN10" s="225"/>
      <c r="BKO10" s="225"/>
      <c r="BKP10" s="225"/>
      <c r="BKQ10" s="225"/>
      <c r="BKR10" s="225"/>
      <c r="BKS10" s="225"/>
      <c r="BKT10" s="225"/>
      <c r="BKU10" s="225"/>
      <c r="BKV10" s="225"/>
      <c r="BKW10" s="225"/>
      <c r="BKX10" s="225"/>
      <c r="BKY10" s="225"/>
      <c r="BKZ10" s="225"/>
      <c r="BLA10" s="225"/>
      <c r="BLB10" s="225"/>
      <c r="BLC10" s="225"/>
      <c r="BLD10" s="225"/>
      <c r="BLE10" s="225"/>
      <c r="BLF10" s="225"/>
      <c r="BLG10" s="225"/>
      <c r="BLH10" s="225"/>
      <c r="BLI10" s="225"/>
      <c r="BLJ10" s="225"/>
      <c r="BLK10" s="225"/>
      <c r="BLL10" s="225"/>
      <c r="BLM10" s="225"/>
      <c r="BLN10" s="225"/>
      <c r="BLO10" s="225"/>
      <c r="BLP10" s="225"/>
      <c r="BLQ10" s="225"/>
      <c r="BLR10" s="225"/>
      <c r="BLS10" s="225"/>
      <c r="BLT10" s="225"/>
      <c r="BLU10" s="225"/>
      <c r="BLV10" s="73"/>
    </row>
    <row r="11" spans="1:1686" s="71" customFormat="1" ht="20.100000000000001" customHeight="1" x14ac:dyDescent="0.25">
      <c r="A11" s="145"/>
      <c r="B11" s="141"/>
      <c r="C11" s="218"/>
      <c r="D11" s="218"/>
      <c r="E11" s="218"/>
      <c r="F11" s="210" t="s">
        <v>142</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142</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0" t="s">
        <v>141</v>
      </c>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t="s">
        <v>141</v>
      </c>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c r="IL11" s="210" t="s">
        <v>138</v>
      </c>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t="s">
        <v>138</v>
      </c>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t="s">
        <v>135</v>
      </c>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t="s">
        <v>135</v>
      </c>
      <c r="PK11" s="210"/>
      <c r="PL11" s="210"/>
      <c r="PM11" s="210"/>
      <c r="PN11" s="210"/>
      <c r="PO11" s="210"/>
      <c r="PP11" s="210"/>
      <c r="PQ11" s="210"/>
      <c r="PR11" s="210"/>
      <c r="PS11" s="210"/>
      <c r="PT11" s="210"/>
      <c r="PU11" s="210"/>
      <c r="PV11" s="210"/>
      <c r="PW11" s="210"/>
      <c r="PX11" s="210"/>
      <c r="PY11" s="210"/>
      <c r="PZ11" s="210"/>
      <c r="QA11" s="210"/>
      <c r="QB11" s="210"/>
      <c r="QC11" s="210"/>
      <c r="QD11" s="210"/>
      <c r="QE11" s="210"/>
      <c r="QF11" s="210"/>
      <c r="QG11" s="210"/>
      <c r="QH11" s="210"/>
      <c r="QI11" s="210"/>
      <c r="QJ11" s="210"/>
      <c r="QK11" s="210"/>
      <c r="QL11" s="210"/>
      <c r="QM11" s="210"/>
      <c r="QN11" s="210"/>
      <c r="QO11" s="210"/>
      <c r="QP11" s="210"/>
      <c r="QQ11" s="210"/>
      <c r="QR11" s="210"/>
      <c r="QS11" s="210"/>
      <c r="QT11" s="210"/>
      <c r="QU11" s="210"/>
      <c r="QV11" s="210"/>
      <c r="QW11" s="210"/>
      <c r="QX11" s="210"/>
      <c r="QY11" s="210"/>
      <c r="QZ11" s="210"/>
      <c r="RA11" s="210"/>
      <c r="RB11" s="210"/>
      <c r="RC11" s="210"/>
      <c r="RD11" s="210"/>
      <c r="RE11" s="210"/>
      <c r="RF11" s="210"/>
      <c r="RG11" s="210"/>
      <c r="RH11" s="210"/>
      <c r="RI11" s="210"/>
      <c r="RJ11" s="210"/>
      <c r="RK11" s="210"/>
      <c r="RL11" s="210"/>
      <c r="RM11" s="210"/>
      <c r="RN11" s="210"/>
      <c r="RO11" s="210"/>
      <c r="RP11" s="210"/>
      <c r="RQ11" s="210"/>
      <c r="RR11" s="210" t="s">
        <v>133</v>
      </c>
      <c r="RS11" s="210"/>
      <c r="RT11" s="210"/>
      <c r="RU11" s="210"/>
      <c r="RV11" s="210"/>
      <c r="RW11" s="210"/>
      <c r="RX11" s="210"/>
      <c r="RY11" s="210"/>
      <c r="RZ11" s="210"/>
      <c r="SA11" s="210"/>
      <c r="SB11" s="210"/>
      <c r="SC11" s="210"/>
      <c r="SD11" s="210"/>
      <c r="SE11" s="210"/>
      <c r="SF11" s="210"/>
      <c r="SG11" s="210"/>
      <c r="SH11" s="210"/>
      <c r="SI11" s="210"/>
      <c r="SJ11" s="210"/>
      <c r="SK11" s="210"/>
      <c r="SL11" s="210"/>
      <c r="SM11" s="210"/>
      <c r="SN11" s="210"/>
      <c r="SO11" s="210"/>
      <c r="SP11" s="210"/>
      <c r="SQ11" s="210"/>
      <c r="SR11" s="210"/>
      <c r="SS11" s="210"/>
      <c r="ST11" s="210"/>
      <c r="SU11" s="210"/>
      <c r="SV11" s="210"/>
      <c r="SW11" s="210"/>
      <c r="SX11" s="210"/>
      <c r="SY11" s="210"/>
      <c r="SZ11" s="210"/>
      <c r="TA11" s="210"/>
      <c r="TB11" s="210"/>
      <c r="TC11" s="210"/>
      <c r="TD11" s="210"/>
      <c r="TE11" s="210"/>
      <c r="TF11" s="210"/>
      <c r="TG11" s="210"/>
      <c r="TH11" s="210"/>
      <c r="TI11" s="210"/>
      <c r="TJ11" s="210"/>
      <c r="TK11" s="210"/>
      <c r="TL11" s="210"/>
      <c r="TM11" s="210"/>
      <c r="TN11" s="210"/>
      <c r="TO11" s="210"/>
      <c r="TP11" s="210"/>
      <c r="TQ11" s="210"/>
      <c r="TR11" s="210"/>
      <c r="TS11" s="210"/>
      <c r="TT11" s="210"/>
      <c r="TU11" s="210"/>
      <c r="TV11" s="210"/>
      <c r="TW11" s="210"/>
      <c r="TX11" s="210"/>
      <c r="TY11" s="210"/>
      <c r="TZ11" s="210" t="s">
        <v>130</v>
      </c>
      <c r="UA11" s="210"/>
      <c r="UB11" s="210"/>
      <c r="UC11" s="210"/>
      <c r="UD11" s="210"/>
      <c r="UE11" s="210"/>
      <c r="UF11" s="210"/>
      <c r="UG11" s="210"/>
      <c r="UH11" s="210"/>
      <c r="UI11" s="210"/>
      <c r="UJ11" s="210"/>
      <c r="UK11" s="210"/>
      <c r="UL11" s="210"/>
      <c r="UM11" s="210"/>
      <c r="UN11" s="210"/>
      <c r="UO11" s="210"/>
      <c r="UP11" s="210"/>
      <c r="UQ11" s="210"/>
      <c r="UR11" s="210"/>
      <c r="US11" s="210"/>
      <c r="UT11" s="210"/>
      <c r="UU11" s="210"/>
      <c r="UV11" s="210"/>
      <c r="UW11" s="210"/>
      <c r="UX11" s="210"/>
      <c r="UY11" s="210"/>
      <c r="UZ11" s="210"/>
      <c r="VA11" s="210"/>
      <c r="VB11" s="210"/>
      <c r="VC11" s="210"/>
      <c r="VD11" s="210"/>
      <c r="VE11" s="210"/>
      <c r="VF11" s="210"/>
      <c r="VG11" s="210"/>
      <c r="VH11" s="210"/>
      <c r="VI11" s="210"/>
      <c r="VJ11" s="210"/>
      <c r="VK11" s="210"/>
      <c r="VL11" s="210"/>
      <c r="VM11" s="210"/>
      <c r="VN11" s="210"/>
      <c r="VO11" s="210"/>
      <c r="VP11" s="210"/>
      <c r="VQ11" s="210"/>
      <c r="VR11" s="210"/>
      <c r="VS11" s="210"/>
      <c r="VT11" s="210"/>
      <c r="VU11" s="210"/>
      <c r="VV11" s="210"/>
      <c r="VW11" s="210"/>
      <c r="VX11" s="210"/>
      <c r="VY11" s="210"/>
      <c r="VZ11" s="210"/>
      <c r="WA11" s="210"/>
      <c r="WB11" s="210"/>
      <c r="WC11" s="210"/>
      <c r="WD11" s="210"/>
      <c r="WE11" s="210"/>
      <c r="WF11" s="210"/>
      <c r="WG11" s="210"/>
      <c r="WH11" s="210" t="s">
        <v>130</v>
      </c>
      <c r="WI11" s="210"/>
      <c r="WJ11" s="210"/>
      <c r="WK11" s="210"/>
      <c r="WL11" s="210"/>
      <c r="WM11" s="210"/>
      <c r="WN11" s="210"/>
      <c r="WO11" s="210"/>
      <c r="WP11" s="210"/>
      <c r="WQ11" s="210"/>
      <c r="WR11" s="210"/>
      <c r="WS11" s="210"/>
      <c r="WT11" s="210"/>
      <c r="WU11" s="210"/>
      <c r="WV11" s="210"/>
      <c r="WW11" s="210"/>
      <c r="WX11" s="210"/>
      <c r="WY11" s="210"/>
      <c r="WZ11" s="210"/>
      <c r="XA11" s="210"/>
      <c r="XB11" s="210"/>
      <c r="XC11" s="210"/>
      <c r="XD11" s="210"/>
      <c r="XE11" s="210"/>
      <c r="XF11" s="210"/>
      <c r="XG11" s="210"/>
      <c r="XH11" s="210"/>
      <c r="XI11" s="210"/>
      <c r="XJ11" s="210"/>
      <c r="XK11" s="210"/>
      <c r="XL11" s="210"/>
      <c r="XM11" s="210"/>
      <c r="XN11" s="210"/>
      <c r="XO11" s="210"/>
      <c r="XP11" s="210"/>
      <c r="XQ11" s="210"/>
      <c r="XR11" s="210"/>
      <c r="XS11" s="210"/>
      <c r="XT11" s="210"/>
      <c r="XU11" s="210"/>
      <c r="XV11" s="210"/>
      <c r="XW11" s="210"/>
      <c r="XX11" s="210"/>
      <c r="XY11" s="210"/>
      <c r="XZ11" s="210"/>
      <c r="YA11" s="210"/>
      <c r="YB11" s="210"/>
      <c r="YC11" s="210"/>
      <c r="YD11" s="210"/>
      <c r="YE11" s="210"/>
      <c r="YF11" s="210"/>
      <c r="YG11" s="210"/>
      <c r="YH11" s="210"/>
      <c r="YI11" s="210"/>
      <c r="YJ11" s="210"/>
      <c r="YK11" s="210"/>
      <c r="YL11" s="210"/>
      <c r="YM11" s="210"/>
      <c r="YN11" s="210"/>
      <c r="YO11" s="210"/>
      <c r="YP11" s="210" t="s">
        <v>127</v>
      </c>
      <c r="YQ11" s="210"/>
      <c r="YR11" s="210"/>
      <c r="YS11" s="210"/>
      <c r="YT11" s="210"/>
      <c r="YU11" s="210"/>
      <c r="YV11" s="210"/>
      <c r="YW11" s="210"/>
      <c r="YX11" s="210"/>
      <c r="YY11" s="210"/>
      <c r="YZ11" s="210"/>
      <c r="ZA11" s="210"/>
      <c r="ZB11" s="210"/>
      <c r="ZC11" s="210"/>
      <c r="ZD11" s="210"/>
      <c r="ZE11" s="210"/>
      <c r="ZF11" s="210"/>
      <c r="ZG11" s="210"/>
      <c r="ZH11" s="210"/>
      <c r="ZI11" s="210"/>
      <c r="ZJ11" s="210"/>
      <c r="ZK11" s="210"/>
      <c r="ZL11" s="210"/>
      <c r="ZM11" s="210"/>
      <c r="ZN11" s="210"/>
      <c r="ZO11" s="210"/>
      <c r="ZP11" s="210"/>
      <c r="ZQ11" s="210"/>
      <c r="ZR11" s="210"/>
      <c r="ZS11" s="210"/>
      <c r="ZT11" s="210"/>
      <c r="ZU11" s="210"/>
      <c r="ZV11" s="210"/>
      <c r="ZW11" s="210"/>
      <c r="ZX11" s="210"/>
      <c r="ZY11" s="210"/>
      <c r="ZZ11" s="210"/>
      <c r="AAA11" s="210"/>
      <c r="AAB11" s="210"/>
      <c r="AAC11" s="210"/>
      <c r="AAD11" s="210"/>
      <c r="AAE11" s="210"/>
      <c r="AAF11" s="210"/>
      <c r="AAG11" s="210"/>
      <c r="AAH11" s="210"/>
      <c r="AAI11" s="210"/>
      <c r="AAJ11" s="210"/>
      <c r="AAK11" s="210"/>
      <c r="AAL11" s="210"/>
      <c r="AAM11" s="210"/>
      <c r="AAN11" s="210"/>
      <c r="AAO11" s="210"/>
      <c r="AAP11" s="210"/>
      <c r="AAQ11" s="210"/>
      <c r="AAR11" s="210"/>
      <c r="AAS11" s="210"/>
      <c r="AAT11" s="210"/>
      <c r="AAU11" s="210"/>
      <c r="AAV11" s="210"/>
      <c r="AAW11" s="210"/>
      <c r="AAX11" s="210" t="s">
        <v>127</v>
      </c>
      <c r="AAY11" s="210"/>
      <c r="AAZ11" s="210"/>
      <c r="ABA11" s="210"/>
      <c r="ABB11" s="210"/>
      <c r="ABC11" s="210"/>
      <c r="ABD11" s="210"/>
      <c r="ABE11" s="210"/>
      <c r="ABF11" s="210"/>
      <c r="ABG11" s="210"/>
      <c r="ABH11" s="210"/>
      <c r="ABI11" s="210"/>
      <c r="ABJ11" s="210"/>
      <c r="ABK11" s="210"/>
      <c r="ABL11" s="210"/>
      <c r="ABM11" s="210"/>
      <c r="ABN11" s="210"/>
      <c r="ABO11" s="210"/>
      <c r="ABP11" s="210"/>
      <c r="ABQ11" s="210"/>
      <c r="ABR11" s="210"/>
      <c r="ABS11" s="210"/>
      <c r="ABT11" s="210"/>
      <c r="ABU11" s="210"/>
      <c r="ABV11" s="210"/>
      <c r="ABW11" s="210"/>
      <c r="ABX11" s="210"/>
      <c r="ABY11" s="210"/>
      <c r="ABZ11" s="210"/>
      <c r="ACA11" s="210"/>
      <c r="ACB11" s="210"/>
      <c r="ACC11" s="210"/>
      <c r="ACD11" s="210"/>
      <c r="ACE11" s="210"/>
      <c r="ACF11" s="210"/>
      <c r="ACG11" s="210"/>
      <c r="ACH11" s="210"/>
      <c r="ACI11" s="210"/>
      <c r="ACJ11" s="210"/>
      <c r="ACK11" s="210"/>
      <c r="ACL11" s="210"/>
      <c r="ACM11" s="210"/>
      <c r="ACN11" s="210"/>
      <c r="ACO11" s="210"/>
      <c r="ACP11" s="210"/>
      <c r="ACQ11" s="210"/>
      <c r="ACR11" s="210"/>
      <c r="ACS11" s="210"/>
      <c r="ACT11" s="210"/>
      <c r="ACU11" s="210"/>
      <c r="ACV11" s="210"/>
      <c r="ACW11" s="210"/>
      <c r="ACX11" s="210"/>
      <c r="ACY11" s="210"/>
      <c r="ACZ11" s="210"/>
      <c r="ADA11" s="210"/>
      <c r="ADB11" s="210"/>
      <c r="ADC11" s="210"/>
      <c r="ADD11" s="210"/>
      <c r="ADE11" s="210"/>
      <c r="ADF11" s="210" t="s">
        <v>124</v>
      </c>
      <c r="ADG11" s="210"/>
      <c r="ADH11" s="210"/>
      <c r="ADI11" s="210"/>
      <c r="ADJ11" s="210"/>
      <c r="ADK11" s="210"/>
      <c r="ADL11" s="210"/>
      <c r="ADM11" s="210"/>
      <c r="ADN11" s="210"/>
      <c r="ADO11" s="210"/>
      <c r="ADP11" s="210"/>
      <c r="ADQ11" s="210"/>
      <c r="ADR11" s="210"/>
      <c r="ADS11" s="210"/>
      <c r="ADT11" s="210"/>
      <c r="ADU11" s="210"/>
      <c r="ADV11" s="210"/>
      <c r="ADW11" s="210"/>
      <c r="ADX11" s="210"/>
      <c r="ADY11" s="210"/>
      <c r="ADZ11" s="210"/>
      <c r="AEA11" s="210"/>
      <c r="AEB11" s="210"/>
      <c r="AEC11" s="210"/>
      <c r="AED11" s="210"/>
      <c r="AEE11" s="210"/>
      <c r="AEF11" s="210"/>
      <c r="AEG11" s="210"/>
      <c r="AEH11" s="210"/>
      <c r="AEI11" s="210"/>
      <c r="AEJ11" s="210"/>
      <c r="AEK11" s="210"/>
      <c r="AEL11" s="210"/>
      <c r="AEM11" s="210"/>
      <c r="AEN11" s="210"/>
      <c r="AEO11" s="210"/>
      <c r="AEP11" s="210"/>
      <c r="AEQ11" s="210"/>
      <c r="AER11" s="210"/>
      <c r="AES11" s="210"/>
      <c r="AET11" s="210"/>
      <c r="AEU11" s="210"/>
      <c r="AEV11" s="210"/>
      <c r="AEW11" s="210"/>
      <c r="AEX11" s="210"/>
      <c r="AEY11" s="210"/>
      <c r="AEZ11" s="210"/>
      <c r="AFA11" s="210"/>
      <c r="AFB11" s="210"/>
      <c r="AFC11" s="210"/>
      <c r="AFD11" s="210"/>
      <c r="AFE11" s="210"/>
      <c r="AFF11" s="210"/>
      <c r="AFG11" s="210"/>
      <c r="AFH11" s="210"/>
      <c r="AFI11" s="210"/>
      <c r="AFJ11" s="210"/>
      <c r="AFK11" s="210"/>
      <c r="AFL11" s="210"/>
      <c r="AFM11" s="210"/>
      <c r="AFN11" s="210" t="s">
        <v>124</v>
      </c>
      <c r="AFO11" s="210"/>
      <c r="AFP11" s="210"/>
      <c r="AFQ11" s="210"/>
      <c r="AFR11" s="210"/>
      <c r="AFS11" s="210"/>
      <c r="AFT11" s="210"/>
      <c r="AFU11" s="210"/>
      <c r="AFV11" s="210"/>
      <c r="AFW11" s="210"/>
      <c r="AFX11" s="210"/>
      <c r="AFY11" s="210"/>
      <c r="AFZ11" s="210"/>
      <c r="AGA11" s="210"/>
      <c r="AGB11" s="210"/>
      <c r="AGC11" s="210"/>
      <c r="AGD11" s="210"/>
      <c r="AGE11" s="210"/>
      <c r="AGF11" s="210"/>
      <c r="AGG11" s="210"/>
      <c r="AGH11" s="210"/>
      <c r="AGI11" s="210"/>
      <c r="AGJ11" s="210"/>
      <c r="AGK11" s="210"/>
      <c r="AGL11" s="210"/>
      <c r="AGM11" s="210"/>
      <c r="AGN11" s="210"/>
      <c r="AGO11" s="210"/>
      <c r="AGP11" s="210"/>
      <c r="AGQ11" s="210"/>
      <c r="AGR11" s="210"/>
      <c r="AGS11" s="210"/>
      <c r="AGT11" s="210"/>
      <c r="AGU11" s="210"/>
      <c r="AGV11" s="210"/>
      <c r="AGW11" s="210"/>
      <c r="AGX11" s="210"/>
      <c r="AGY11" s="210"/>
      <c r="AGZ11" s="210"/>
      <c r="AHA11" s="210"/>
      <c r="AHB11" s="210"/>
      <c r="AHC11" s="210"/>
      <c r="AHD11" s="210"/>
      <c r="AHE11" s="210"/>
      <c r="AHF11" s="210"/>
      <c r="AHG11" s="210"/>
      <c r="AHH11" s="210"/>
      <c r="AHI11" s="210"/>
      <c r="AHJ11" s="210"/>
      <c r="AHK11" s="210"/>
      <c r="AHL11" s="210"/>
      <c r="AHM11" s="210"/>
      <c r="AHN11" s="210"/>
      <c r="AHO11" s="210"/>
      <c r="AHP11" s="210"/>
      <c r="AHQ11" s="210"/>
      <c r="AHR11" s="210"/>
      <c r="AHS11" s="210"/>
      <c r="AHT11" s="210"/>
      <c r="AHU11" s="210"/>
      <c r="AHV11" s="210" t="s">
        <v>121</v>
      </c>
      <c r="AHW11" s="210"/>
      <c r="AHX11" s="210"/>
      <c r="AHY11" s="210"/>
      <c r="AHZ11" s="210"/>
      <c r="AIA11" s="210"/>
      <c r="AIB11" s="210"/>
      <c r="AIC11" s="210"/>
      <c r="AID11" s="210"/>
      <c r="AIE11" s="210"/>
      <c r="AIF11" s="210"/>
      <c r="AIG11" s="210"/>
      <c r="AIH11" s="210"/>
      <c r="AII11" s="210"/>
      <c r="AIJ11" s="210"/>
      <c r="AIK11" s="210"/>
      <c r="AIL11" s="210"/>
      <c r="AIM11" s="210"/>
      <c r="AIN11" s="210"/>
      <c r="AIO11" s="210"/>
      <c r="AIP11" s="210"/>
      <c r="AIQ11" s="210"/>
      <c r="AIR11" s="210"/>
      <c r="AIS11" s="210"/>
      <c r="AIT11" s="210"/>
      <c r="AIU11" s="210"/>
      <c r="AIV11" s="210"/>
      <c r="AIW11" s="210"/>
      <c r="AIX11" s="210"/>
      <c r="AIY11" s="210"/>
      <c r="AIZ11" s="210"/>
      <c r="AJA11" s="210"/>
      <c r="AJB11" s="210"/>
      <c r="AJC11" s="210"/>
      <c r="AJD11" s="210"/>
      <c r="AJE11" s="210"/>
      <c r="AJF11" s="210"/>
      <c r="AJG11" s="210"/>
      <c r="AJH11" s="210"/>
      <c r="AJI11" s="210"/>
      <c r="AJJ11" s="210"/>
      <c r="AJK11" s="210"/>
      <c r="AJL11" s="210"/>
      <c r="AJM11" s="210"/>
      <c r="AJN11" s="210"/>
      <c r="AJO11" s="210"/>
      <c r="AJP11" s="210"/>
      <c r="AJQ11" s="210"/>
      <c r="AJR11" s="210"/>
      <c r="AJS11" s="210"/>
      <c r="AJT11" s="210"/>
      <c r="AJU11" s="210"/>
      <c r="AJV11" s="210"/>
      <c r="AJW11" s="210"/>
      <c r="AJX11" s="210"/>
      <c r="AJY11" s="210"/>
      <c r="AJZ11" s="210"/>
      <c r="AKA11" s="210"/>
      <c r="AKB11" s="210"/>
      <c r="AKC11" s="210"/>
      <c r="AKD11" s="210" t="s">
        <v>121</v>
      </c>
      <c r="AKE11" s="210"/>
      <c r="AKF11" s="210"/>
      <c r="AKG11" s="210"/>
      <c r="AKH11" s="210"/>
      <c r="AKI11" s="210"/>
      <c r="AKJ11" s="210"/>
      <c r="AKK11" s="210"/>
      <c r="AKL11" s="210"/>
      <c r="AKM11" s="210"/>
      <c r="AKN11" s="210"/>
      <c r="AKO11" s="210"/>
      <c r="AKP11" s="210"/>
      <c r="AKQ11" s="210"/>
      <c r="AKR11" s="210"/>
      <c r="AKS11" s="210"/>
      <c r="AKT11" s="210"/>
      <c r="AKU11" s="210"/>
      <c r="AKV11" s="210"/>
      <c r="AKW11" s="210"/>
      <c r="AKX11" s="210"/>
      <c r="AKY11" s="210"/>
      <c r="AKZ11" s="210"/>
      <c r="ALA11" s="210"/>
      <c r="ALB11" s="210"/>
      <c r="ALC11" s="210"/>
      <c r="ALD11" s="210"/>
      <c r="ALE11" s="210"/>
      <c r="ALF11" s="210"/>
      <c r="ALG11" s="210"/>
      <c r="ALH11" s="210"/>
      <c r="ALI11" s="210"/>
      <c r="ALJ11" s="210"/>
      <c r="ALK11" s="210"/>
      <c r="ALL11" s="210"/>
      <c r="ALM11" s="210"/>
      <c r="ALN11" s="210"/>
      <c r="ALO11" s="210"/>
      <c r="ALP11" s="210"/>
      <c r="ALQ11" s="210"/>
      <c r="ALR11" s="210"/>
      <c r="ALS11" s="210"/>
      <c r="ALT11" s="210"/>
      <c r="ALU11" s="210"/>
      <c r="ALV11" s="210"/>
      <c r="ALW11" s="210"/>
      <c r="ALX11" s="210"/>
      <c r="ALY11" s="210"/>
      <c r="ALZ11" s="210"/>
      <c r="AMA11" s="210"/>
      <c r="AMB11" s="210"/>
      <c r="AMC11" s="210"/>
      <c r="AMD11" s="210"/>
      <c r="AME11" s="210"/>
      <c r="AMF11" s="210"/>
      <c r="AMG11" s="210"/>
      <c r="AMH11" s="210"/>
      <c r="AMI11" s="210"/>
      <c r="AMJ11" s="210"/>
      <c r="AMK11" s="210"/>
      <c r="AML11" s="210" t="s">
        <v>119</v>
      </c>
      <c r="AMM11" s="210"/>
      <c r="AMN11" s="210"/>
      <c r="AMO11" s="210"/>
      <c r="AMP11" s="210"/>
      <c r="AMQ11" s="210"/>
      <c r="AMR11" s="210"/>
      <c r="AMS11" s="210"/>
      <c r="AMT11" s="210"/>
      <c r="AMU11" s="210"/>
      <c r="AMV11" s="210"/>
      <c r="AMW11" s="210"/>
      <c r="AMX11" s="210"/>
      <c r="AMY11" s="210"/>
      <c r="AMZ11" s="210"/>
      <c r="ANA11" s="210"/>
      <c r="ANB11" s="210"/>
      <c r="ANC11" s="210"/>
      <c r="AND11" s="210"/>
      <c r="ANE11" s="210"/>
      <c r="ANF11" s="210"/>
      <c r="ANG11" s="210"/>
      <c r="ANH11" s="210"/>
      <c r="ANI11" s="210"/>
      <c r="ANJ11" s="210"/>
      <c r="ANK11" s="210"/>
      <c r="ANL11" s="210"/>
      <c r="ANM11" s="210"/>
      <c r="ANN11" s="210"/>
      <c r="ANO11" s="210"/>
      <c r="ANP11" s="210"/>
      <c r="ANQ11" s="210"/>
      <c r="ANR11" s="210"/>
      <c r="ANS11" s="210"/>
      <c r="ANT11" s="210"/>
      <c r="ANU11" s="210"/>
      <c r="ANV11" s="210"/>
      <c r="ANW11" s="210"/>
      <c r="ANX11" s="210"/>
      <c r="ANY11" s="210"/>
      <c r="ANZ11" s="210"/>
      <c r="AOA11" s="210"/>
      <c r="AOB11" s="210"/>
      <c r="AOC11" s="210"/>
      <c r="AOD11" s="210"/>
      <c r="AOE11" s="210"/>
      <c r="AOF11" s="210"/>
      <c r="AOG11" s="210"/>
      <c r="AOH11" s="210"/>
      <c r="AOI11" s="210"/>
      <c r="AOJ11" s="210"/>
      <c r="AOK11" s="210"/>
      <c r="AOL11" s="210"/>
      <c r="AOM11" s="210"/>
      <c r="AON11" s="210"/>
      <c r="AOO11" s="210"/>
      <c r="AOP11" s="210"/>
      <c r="AOQ11" s="210"/>
      <c r="AOR11" s="210"/>
      <c r="AOS11" s="210"/>
      <c r="AOT11" s="210" t="s">
        <v>116</v>
      </c>
      <c r="AOU11" s="210"/>
      <c r="AOV11" s="210"/>
      <c r="AOW11" s="210"/>
      <c r="AOX11" s="210"/>
      <c r="AOY11" s="210"/>
      <c r="AOZ11" s="210"/>
      <c r="APA11" s="210"/>
      <c r="APB11" s="210"/>
      <c r="APC11" s="210"/>
      <c r="APD11" s="210"/>
      <c r="APE11" s="210"/>
      <c r="APF11" s="210"/>
      <c r="APG11" s="210"/>
      <c r="APH11" s="210"/>
      <c r="API11" s="210"/>
      <c r="APJ11" s="210"/>
      <c r="APK11" s="210"/>
      <c r="APL11" s="210"/>
      <c r="APM11" s="210"/>
      <c r="APN11" s="210"/>
      <c r="APO11" s="210"/>
      <c r="APP11" s="210"/>
      <c r="APQ11" s="210"/>
      <c r="APR11" s="210"/>
      <c r="APS11" s="210"/>
      <c r="APT11" s="210"/>
      <c r="APU11" s="210"/>
      <c r="APV11" s="210"/>
      <c r="APW11" s="210"/>
      <c r="APX11" s="210"/>
      <c r="APY11" s="210"/>
      <c r="APZ11" s="210"/>
      <c r="AQA11" s="210"/>
      <c r="AQB11" s="210"/>
      <c r="AQC11" s="210"/>
      <c r="AQD11" s="210"/>
      <c r="AQE11" s="210"/>
      <c r="AQF11" s="210"/>
      <c r="AQG11" s="210"/>
      <c r="AQH11" s="210"/>
      <c r="AQI11" s="210"/>
      <c r="AQJ11" s="210"/>
      <c r="AQK11" s="210"/>
      <c r="AQL11" s="210"/>
      <c r="AQM11" s="210"/>
      <c r="AQN11" s="210"/>
      <c r="AQO11" s="210"/>
      <c r="AQP11" s="210"/>
      <c r="AQQ11" s="210"/>
      <c r="AQR11" s="210"/>
      <c r="AQS11" s="210"/>
      <c r="AQT11" s="210"/>
      <c r="AQU11" s="210"/>
      <c r="AQV11" s="210"/>
      <c r="AQW11" s="210"/>
      <c r="AQX11" s="210"/>
      <c r="AQY11" s="210"/>
      <c r="AQZ11" s="210"/>
      <c r="ARA11" s="210"/>
      <c r="ARB11" s="210" t="s">
        <v>116</v>
      </c>
      <c r="ARC11" s="210"/>
      <c r="ARD11" s="210"/>
      <c r="ARE11" s="210"/>
      <c r="ARF11" s="210"/>
      <c r="ARG11" s="210"/>
      <c r="ARH11" s="210"/>
      <c r="ARI11" s="210"/>
      <c r="ARJ11" s="210"/>
      <c r="ARK11" s="210"/>
      <c r="ARL11" s="210"/>
      <c r="ARM11" s="210"/>
      <c r="ARN11" s="210"/>
      <c r="ARO11" s="210"/>
      <c r="ARP11" s="210"/>
      <c r="ARQ11" s="210"/>
      <c r="ARR11" s="210"/>
      <c r="ARS11" s="210"/>
      <c r="ART11" s="210"/>
      <c r="ARU11" s="210"/>
      <c r="ARV11" s="210"/>
      <c r="ARW11" s="210"/>
      <c r="ARX11" s="210"/>
      <c r="ARY11" s="210"/>
      <c r="ARZ11" s="210"/>
      <c r="ASA11" s="210"/>
      <c r="ASB11" s="210"/>
      <c r="ASC11" s="210"/>
      <c r="ASD11" s="210"/>
      <c r="ASE11" s="210"/>
      <c r="ASF11" s="210"/>
      <c r="ASG11" s="210"/>
      <c r="ASH11" s="210"/>
      <c r="ASI11" s="210"/>
      <c r="ASJ11" s="210"/>
      <c r="ASK11" s="210"/>
      <c r="ASL11" s="210"/>
      <c r="ASM11" s="210"/>
      <c r="ASN11" s="210"/>
      <c r="ASO11" s="210"/>
      <c r="ASP11" s="210"/>
      <c r="ASQ11" s="210"/>
      <c r="ASR11" s="210"/>
      <c r="ASS11" s="210"/>
      <c r="AST11" s="210"/>
      <c r="ASU11" s="210"/>
      <c r="ASV11" s="210"/>
      <c r="ASW11" s="210"/>
      <c r="ASX11" s="210"/>
      <c r="ASY11" s="210"/>
      <c r="ASZ11" s="210"/>
      <c r="ATA11" s="210"/>
      <c r="ATB11" s="210"/>
      <c r="ATC11" s="210"/>
      <c r="ATD11" s="210"/>
      <c r="ATE11" s="210"/>
      <c r="ATF11" s="210"/>
      <c r="ATG11" s="210"/>
      <c r="ATH11" s="210"/>
      <c r="ATI11" s="210"/>
      <c r="ATJ11" s="210" t="s">
        <v>113</v>
      </c>
      <c r="ATK11" s="210"/>
      <c r="ATL11" s="210"/>
      <c r="ATM11" s="210"/>
      <c r="ATN11" s="210"/>
      <c r="ATO11" s="210"/>
      <c r="ATP11" s="210"/>
      <c r="ATQ11" s="210"/>
      <c r="ATR11" s="210"/>
      <c r="ATS11" s="210"/>
      <c r="ATT11" s="210"/>
      <c r="ATU11" s="210"/>
      <c r="ATV11" s="210"/>
      <c r="ATW11" s="210"/>
      <c r="ATX11" s="210"/>
      <c r="ATY11" s="210"/>
      <c r="ATZ11" s="210"/>
      <c r="AUA11" s="210"/>
      <c r="AUB11" s="210"/>
      <c r="AUC11" s="210"/>
      <c r="AUD11" s="210"/>
      <c r="AUE11" s="210"/>
      <c r="AUF11" s="210"/>
      <c r="AUG11" s="210"/>
      <c r="AUH11" s="210"/>
      <c r="AUI11" s="210"/>
      <c r="AUJ11" s="210"/>
      <c r="AUK11" s="210"/>
      <c r="AUL11" s="210"/>
      <c r="AUM11" s="210"/>
      <c r="AUN11" s="210"/>
      <c r="AUO11" s="210"/>
      <c r="AUP11" s="210"/>
      <c r="AUQ11" s="210"/>
      <c r="AUR11" s="210"/>
      <c r="AUS11" s="210"/>
      <c r="AUT11" s="210"/>
      <c r="AUU11" s="210"/>
      <c r="AUV11" s="210"/>
      <c r="AUW11" s="210"/>
      <c r="AUX11" s="210"/>
      <c r="AUY11" s="210"/>
      <c r="AUZ11" s="210"/>
      <c r="AVA11" s="210"/>
      <c r="AVB11" s="210"/>
      <c r="AVC11" s="210"/>
      <c r="AVD11" s="210"/>
      <c r="AVE11" s="210"/>
      <c r="AVF11" s="210"/>
      <c r="AVG11" s="210"/>
      <c r="AVH11" s="210"/>
      <c r="AVI11" s="210"/>
      <c r="AVJ11" s="210"/>
      <c r="AVK11" s="210"/>
      <c r="AVL11" s="210"/>
      <c r="AVM11" s="210"/>
      <c r="AVN11" s="210"/>
      <c r="AVO11" s="210"/>
      <c r="AVP11" s="210"/>
      <c r="AVQ11" s="210"/>
      <c r="AVR11" s="210" t="s">
        <v>113</v>
      </c>
      <c r="AVS11" s="210"/>
      <c r="AVT11" s="210"/>
      <c r="AVU11" s="210"/>
      <c r="AVV11" s="210"/>
      <c r="AVW11" s="210"/>
      <c r="AVX11" s="210"/>
      <c r="AVY11" s="210"/>
      <c r="AVZ11" s="210"/>
      <c r="AWA11" s="210"/>
      <c r="AWB11" s="210"/>
      <c r="AWC11" s="210"/>
      <c r="AWD11" s="210"/>
      <c r="AWE11" s="210"/>
      <c r="AWF11" s="210"/>
      <c r="AWG11" s="210"/>
      <c r="AWH11" s="210"/>
      <c r="AWI11" s="210"/>
      <c r="AWJ11" s="210"/>
      <c r="AWK11" s="210"/>
      <c r="AWL11" s="210"/>
      <c r="AWM11" s="210"/>
      <c r="AWN11" s="210"/>
      <c r="AWO11" s="210"/>
      <c r="AWP11" s="210"/>
      <c r="AWQ11" s="210"/>
      <c r="AWR11" s="210"/>
      <c r="AWS11" s="210"/>
      <c r="AWT11" s="210"/>
      <c r="AWU11" s="210"/>
      <c r="AWV11" s="210"/>
      <c r="AWW11" s="210"/>
      <c r="AWX11" s="210"/>
      <c r="AWY11" s="210"/>
      <c r="AWZ11" s="210"/>
      <c r="AXA11" s="210"/>
      <c r="AXB11" s="210"/>
      <c r="AXC11" s="210"/>
      <c r="AXD11" s="210"/>
      <c r="AXE11" s="210"/>
      <c r="AXF11" s="210"/>
      <c r="AXG11" s="210"/>
      <c r="AXH11" s="210"/>
      <c r="AXI11" s="210"/>
      <c r="AXJ11" s="210"/>
      <c r="AXK11" s="210"/>
      <c r="AXL11" s="210"/>
      <c r="AXM11" s="210"/>
      <c r="AXN11" s="210"/>
      <c r="AXO11" s="210"/>
      <c r="AXP11" s="210"/>
      <c r="AXQ11" s="210"/>
      <c r="AXR11" s="210"/>
      <c r="AXS11" s="210"/>
      <c r="AXT11" s="210"/>
      <c r="AXU11" s="210"/>
      <c r="AXV11" s="210"/>
      <c r="AXW11" s="210"/>
      <c r="AXX11" s="210"/>
      <c r="AXY11" s="210"/>
      <c r="AXZ11" s="210" t="s">
        <v>110</v>
      </c>
      <c r="AYA11" s="210"/>
      <c r="AYB11" s="210"/>
      <c r="AYC11" s="210"/>
      <c r="AYD11" s="210"/>
      <c r="AYE11" s="210"/>
      <c r="AYF11" s="210"/>
      <c r="AYG11" s="210"/>
      <c r="AYH11" s="210"/>
      <c r="AYI11" s="210"/>
      <c r="AYJ11" s="210"/>
      <c r="AYK11" s="210"/>
      <c r="AYL11" s="210"/>
      <c r="AYM11" s="210"/>
      <c r="AYN11" s="210"/>
      <c r="AYO11" s="210"/>
      <c r="AYP11" s="210"/>
      <c r="AYQ11" s="210"/>
      <c r="AYR11" s="210"/>
      <c r="AYS11" s="210"/>
      <c r="AYT11" s="210"/>
      <c r="AYU11" s="210"/>
      <c r="AYV11" s="210"/>
      <c r="AYW11" s="210"/>
      <c r="AYX11" s="210"/>
      <c r="AYY11" s="210"/>
      <c r="AYZ11" s="210"/>
      <c r="AZA11" s="210"/>
      <c r="AZB11" s="210"/>
      <c r="AZC11" s="210"/>
      <c r="AZD11" s="210"/>
      <c r="AZE11" s="210"/>
      <c r="AZF11" s="210"/>
      <c r="AZG11" s="210"/>
      <c r="AZH11" s="210"/>
      <c r="AZI11" s="210"/>
      <c r="AZJ11" s="210"/>
      <c r="AZK11" s="210"/>
      <c r="AZL11" s="210"/>
      <c r="AZM11" s="210"/>
      <c r="AZN11" s="210"/>
      <c r="AZO11" s="210"/>
      <c r="AZP11" s="210"/>
      <c r="AZQ11" s="210"/>
      <c r="AZR11" s="210"/>
      <c r="AZS11" s="210"/>
      <c r="AZT11" s="210"/>
      <c r="AZU11" s="210"/>
      <c r="AZV11" s="210"/>
      <c r="AZW11" s="210"/>
      <c r="AZX11" s="210"/>
      <c r="AZY11" s="210"/>
      <c r="AZZ11" s="210"/>
      <c r="BAA11" s="210"/>
      <c r="BAB11" s="210"/>
      <c r="BAC11" s="210"/>
      <c r="BAD11" s="210"/>
      <c r="BAE11" s="210"/>
      <c r="BAF11" s="210"/>
      <c r="BAG11" s="210"/>
      <c r="BAH11" s="210" t="s">
        <v>110</v>
      </c>
      <c r="BAI11" s="210"/>
      <c r="BAJ11" s="210"/>
      <c r="BAK11" s="210"/>
      <c r="BAL11" s="210"/>
      <c r="BAM11" s="210"/>
      <c r="BAN11" s="210"/>
      <c r="BAO11" s="210"/>
      <c r="BAP11" s="210"/>
      <c r="BAQ11" s="210"/>
      <c r="BAR11" s="210"/>
      <c r="BAS11" s="210"/>
      <c r="BAT11" s="210"/>
      <c r="BAU11" s="210"/>
      <c r="BAV11" s="210"/>
      <c r="BAW11" s="210"/>
      <c r="BAX11" s="210"/>
      <c r="BAY11" s="210"/>
      <c r="BAZ11" s="210"/>
      <c r="BBA11" s="210"/>
      <c r="BBB11" s="210"/>
      <c r="BBC11" s="210"/>
      <c r="BBD11" s="210"/>
      <c r="BBE11" s="210"/>
      <c r="BBF11" s="210"/>
      <c r="BBG11" s="210"/>
      <c r="BBH11" s="210"/>
      <c r="BBI11" s="210"/>
      <c r="BBJ11" s="210"/>
      <c r="BBK11" s="210"/>
      <c r="BBL11" s="210"/>
      <c r="BBM11" s="210"/>
      <c r="BBN11" s="210"/>
      <c r="BBO11" s="210"/>
      <c r="BBP11" s="210"/>
      <c r="BBQ11" s="210"/>
      <c r="BBR11" s="210"/>
      <c r="BBS11" s="210"/>
      <c r="BBT11" s="210"/>
      <c r="BBU11" s="210"/>
      <c r="BBV11" s="210"/>
      <c r="BBW11" s="210"/>
      <c r="BBX11" s="210"/>
      <c r="BBY11" s="210"/>
      <c r="BBZ11" s="210"/>
      <c r="BCA11" s="210"/>
      <c r="BCB11" s="210"/>
      <c r="BCC11" s="210"/>
      <c r="BCD11" s="210"/>
      <c r="BCE11" s="210"/>
      <c r="BCF11" s="210"/>
      <c r="BCG11" s="210"/>
      <c r="BCH11" s="210"/>
      <c r="BCI11" s="210"/>
      <c r="BCJ11" s="210"/>
      <c r="BCK11" s="210"/>
      <c r="BCL11" s="210"/>
      <c r="BCM11" s="210"/>
      <c r="BCN11" s="210"/>
      <c r="BCO11" s="210"/>
      <c r="BCP11" s="210" t="s">
        <v>107</v>
      </c>
      <c r="BCQ11" s="210"/>
      <c r="BCR11" s="210"/>
      <c r="BCS11" s="210"/>
      <c r="BCT11" s="210"/>
      <c r="BCU11" s="210"/>
      <c r="BCV11" s="210"/>
      <c r="BCW11" s="210"/>
      <c r="BCX11" s="210"/>
      <c r="BCY11" s="210"/>
      <c r="BCZ11" s="210"/>
      <c r="BDA11" s="210"/>
      <c r="BDB11" s="210"/>
      <c r="BDC11" s="210"/>
      <c r="BDD11" s="210"/>
      <c r="BDE11" s="210"/>
      <c r="BDF11" s="210"/>
      <c r="BDG11" s="210"/>
      <c r="BDH11" s="210"/>
      <c r="BDI11" s="210"/>
      <c r="BDJ11" s="210"/>
      <c r="BDK11" s="210"/>
      <c r="BDL11" s="210"/>
      <c r="BDM11" s="210"/>
      <c r="BDN11" s="210"/>
      <c r="BDO11" s="210"/>
      <c r="BDP11" s="210"/>
      <c r="BDQ11" s="210"/>
      <c r="BDR11" s="210"/>
      <c r="BDS11" s="210"/>
      <c r="BDT11" s="210"/>
      <c r="BDU11" s="210"/>
      <c r="BDV11" s="210"/>
      <c r="BDW11" s="210"/>
      <c r="BDX11" s="210"/>
      <c r="BDY11" s="210"/>
      <c r="BDZ11" s="210"/>
      <c r="BEA11" s="210"/>
      <c r="BEB11" s="210"/>
      <c r="BEC11" s="210"/>
      <c r="BED11" s="210"/>
      <c r="BEE11" s="210"/>
      <c r="BEF11" s="210"/>
      <c r="BEG11" s="210"/>
      <c r="BEH11" s="210"/>
      <c r="BEI11" s="210"/>
      <c r="BEJ11" s="210"/>
      <c r="BEK11" s="210"/>
      <c r="BEL11" s="210"/>
      <c r="BEM11" s="210"/>
      <c r="BEN11" s="210"/>
      <c r="BEO11" s="210"/>
      <c r="BEP11" s="210"/>
      <c r="BEQ11" s="210"/>
      <c r="BER11" s="210"/>
      <c r="BES11" s="210"/>
      <c r="BET11" s="210"/>
      <c r="BEU11" s="210"/>
      <c r="BEV11" s="210"/>
      <c r="BEW11" s="210"/>
      <c r="BEX11" s="210" t="s">
        <v>107</v>
      </c>
      <c r="BEY11" s="210"/>
      <c r="BEZ11" s="210"/>
      <c r="BFA11" s="210"/>
      <c r="BFB11" s="210"/>
      <c r="BFC11" s="210"/>
      <c r="BFD11" s="210"/>
      <c r="BFE11" s="210"/>
      <c r="BFF11" s="210"/>
      <c r="BFG11" s="210"/>
      <c r="BFH11" s="210"/>
      <c r="BFI11" s="210"/>
      <c r="BFJ11" s="210"/>
      <c r="BFK11" s="210"/>
      <c r="BFL11" s="210"/>
      <c r="BFM11" s="210"/>
      <c r="BFN11" s="210"/>
      <c r="BFO11" s="210"/>
      <c r="BFP11" s="210"/>
      <c r="BFQ11" s="210"/>
      <c r="BFR11" s="210"/>
      <c r="BFS11" s="210"/>
      <c r="BFT11" s="210"/>
      <c r="BFU11" s="210"/>
      <c r="BFV11" s="210"/>
      <c r="BFW11" s="210"/>
      <c r="BFX11" s="210"/>
      <c r="BFY11" s="210"/>
      <c r="BFZ11" s="210"/>
      <c r="BGA11" s="210"/>
      <c r="BGB11" s="210"/>
      <c r="BGC11" s="210"/>
      <c r="BGD11" s="210"/>
      <c r="BGE11" s="210"/>
      <c r="BGF11" s="210"/>
      <c r="BGG11" s="210"/>
      <c r="BGH11" s="210"/>
      <c r="BGI11" s="210"/>
      <c r="BGJ11" s="210"/>
      <c r="BGK11" s="210"/>
      <c r="BGL11" s="210"/>
      <c r="BGM11" s="210"/>
      <c r="BGN11" s="210"/>
      <c r="BGO11" s="210"/>
      <c r="BGP11" s="210"/>
      <c r="BGQ11" s="210"/>
      <c r="BGR11" s="210"/>
      <c r="BGS11" s="210"/>
      <c r="BGT11" s="210"/>
      <c r="BGU11" s="210"/>
      <c r="BGV11" s="210"/>
      <c r="BGW11" s="210"/>
      <c r="BGX11" s="210"/>
      <c r="BGY11" s="210"/>
      <c r="BGZ11" s="210"/>
      <c r="BHA11" s="210"/>
      <c r="BHB11" s="210"/>
      <c r="BHC11" s="210"/>
      <c r="BHD11" s="210"/>
      <c r="BHE11" s="210"/>
      <c r="BHF11" s="210" t="s">
        <v>105</v>
      </c>
      <c r="BHG11" s="210"/>
      <c r="BHH11" s="210"/>
      <c r="BHI11" s="210"/>
      <c r="BHJ11" s="210"/>
      <c r="BHK11" s="210"/>
      <c r="BHL11" s="210"/>
      <c r="BHM11" s="210"/>
      <c r="BHN11" s="210"/>
      <c r="BHO11" s="210"/>
      <c r="BHP11" s="210"/>
      <c r="BHQ11" s="210"/>
      <c r="BHR11" s="210"/>
      <c r="BHS11" s="210"/>
      <c r="BHT11" s="210"/>
      <c r="BHU11" s="210"/>
      <c r="BHV11" s="210"/>
      <c r="BHW11" s="210"/>
      <c r="BHX11" s="210"/>
      <c r="BHY11" s="210"/>
      <c r="BHZ11" s="210"/>
      <c r="BIA11" s="210"/>
      <c r="BIB11" s="210"/>
      <c r="BIC11" s="210"/>
      <c r="BID11" s="210"/>
      <c r="BIE11" s="210"/>
      <c r="BIF11" s="210"/>
      <c r="BIG11" s="210"/>
      <c r="BIH11" s="210"/>
      <c r="BII11" s="210"/>
      <c r="BIJ11" s="210"/>
      <c r="BIK11" s="210"/>
      <c r="BIL11" s="210"/>
      <c r="BIM11" s="210"/>
      <c r="BIN11" s="210"/>
      <c r="BIO11" s="210"/>
      <c r="BIP11" s="210"/>
      <c r="BIQ11" s="210"/>
      <c r="BIR11" s="210"/>
      <c r="BIS11" s="210"/>
      <c r="BIT11" s="210"/>
      <c r="BIU11" s="210"/>
      <c r="BIV11" s="210"/>
      <c r="BIW11" s="210"/>
      <c r="BIX11" s="210"/>
      <c r="BIY11" s="210"/>
      <c r="BIZ11" s="210"/>
      <c r="BJA11" s="210"/>
      <c r="BJB11" s="210"/>
      <c r="BJC11" s="210"/>
      <c r="BJD11" s="210"/>
      <c r="BJE11" s="210"/>
      <c r="BJF11" s="210"/>
      <c r="BJG11" s="210"/>
      <c r="BJH11" s="210"/>
      <c r="BJI11" s="210"/>
      <c r="BJJ11" s="210"/>
      <c r="BJK11" s="210"/>
      <c r="BJL11" s="210"/>
      <c r="BJM11" s="210"/>
      <c r="BJN11" s="210" t="s">
        <v>103</v>
      </c>
      <c r="BJO11" s="210"/>
      <c r="BJP11" s="210"/>
      <c r="BJQ11" s="210"/>
      <c r="BJR11" s="210"/>
      <c r="BJS11" s="210"/>
      <c r="BJT11" s="210"/>
      <c r="BJU11" s="210"/>
      <c r="BJV11" s="210"/>
      <c r="BJW11" s="210"/>
      <c r="BJX11" s="210"/>
      <c r="BJY11" s="210"/>
      <c r="BJZ11" s="210"/>
      <c r="BKA11" s="210"/>
      <c r="BKB11" s="210"/>
      <c r="BKC11" s="210"/>
      <c r="BKD11" s="210"/>
      <c r="BKE11" s="210"/>
      <c r="BKF11" s="210"/>
      <c r="BKG11" s="210"/>
      <c r="BKH11" s="210"/>
      <c r="BKI11" s="210"/>
      <c r="BKJ11" s="210"/>
      <c r="BKK11" s="210"/>
      <c r="BKL11" s="210"/>
      <c r="BKM11" s="210"/>
      <c r="BKN11" s="210"/>
      <c r="BKO11" s="210"/>
      <c r="BKP11" s="210"/>
      <c r="BKQ11" s="210"/>
      <c r="BKR11" s="210"/>
      <c r="BKS11" s="210"/>
      <c r="BKT11" s="210"/>
      <c r="BKU11" s="210"/>
      <c r="BKV11" s="210"/>
      <c r="BKW11" s="210"/>
      <c r="BKX11" s="210"/>
      <c r="BKY11" s="210"/>
      <c r="BKZ11" s="210"/>
      <c r="BLA11" s="210"/>
      <c r="BLB11" s="210"/>
      <c r="BLC11" s="210"/>
      <c r="BLD11" s="210"/>
      <c r="BLE11" s="210"/>
      <c r="BLF11" s="210"/>
      <c r="BLG11" s="210"/>
      <c r="BLH11" s="210"/>
      <c r="BLI11" s="210"/>
      <c r="BLJ11" s="210"/>
      <c r="BLK11" s="210"/>
      <c r="BLL11" s="210"/>
      <c r="BLM11" s="210"/>
      <c r="BLN11" s="210"/>
      <c r="BLO11" s="210"/>
      <c r="BLP11" s="210"/>
      <c r="BLQ11" s="210"/>
      <c r="BLR11" s="210"/>
      <c r="BLS11" s="210"/>
      <c r="BLT11" s="210"/>
      <c r="BLU11" s="210"/>
      <c r="BLV11" s="73"/>
    </row>
    <row r="12" spans="1:1686" ht="49.5" customHeight="1" thickBot="1" x14ac:dyDescent="0.3">
      <c r="B12" s="142"/>
      <c r="C12" s="219"/>
      <c r="D12" s="219"/>
      <c r="E12" s="219"/>
      <c r="F12" s="237" t="s">
        <v>66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68</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15" t="s">
        <v>66</v>
      </c>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38" t="s">
        <v>68</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66</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68</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66</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68</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66</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66</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68</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66</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68</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66</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68</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66</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68</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66</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66</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68</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66</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68</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66</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68</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66</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68</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238" t="s">
        <v>66</v>
      </c>
      <c r="BHG12" s="238"/>
      <c r="BHH12" s="238"/>
      <c r="BHI12" s="238"/>
      <c r="BHJ12" s="238"/>
      <c r="BHK12" s="238"/>
      <c r="BHL12" s="238"/>
      <c r="BHM12" s="238"/>
      <c r="BHN12" s="238"/>
      <c r="BHO12" s="238"/>
      <c r="BHP12" s="238"/>
      <c r="BHQ12" s="238"/>
      <c r="BHR12" s="238"/>
      <c r="BHS12" s="238"/>
      <c r="BHT12" s="238"/>
      <c r="BHU12" s="238"/>
      <c r="BHV12" s="238"/>
      <c r="BHW12" s="238"/>
      <c r="BHX12" s="238"/>
      <c r="BHY12" s="238"/>
      <c r="BHZ12" s="238"/>
      <c r="BIA12" s="238"/>
      <c r="BIB12" s="238"/>
      <c r="BIC12" s="238"/>
      <c r="BID12" s="238"/>
      <c r="BIE12" s="238"/>
      <c r="BIF12" s="238"/>
      <c r="BIG12" s="238"/>
      <c r="BIH12" s="238"/>
      <c r="BII12" s="238"/>
      <c r="BIJ12" s="238"/>
      <c r="BIK12" s="238"/>
      <c r="BIL12" s="238"/>
      <c r="BIM12" s="238"/>
      <c r="BIN12" s="238"/>
      <c r="BIO12" s="238"/>
      <c r="BIP12" s="238"/>
      <c r="BIQ12" s="238"/>
      <c r="BIR12" s="238"/>
      <c r="BIS12" s="238"/>
      <c r="BIT12" s="238"/>
      <c r="BIU12" s="238"/>
      <c r="BIV12" s="238"/>
      <c r="BIW12" s="238"/>
      <c r="BIX12" s="238"/>
      <c r="BIY12" s="238"/>
      <c r="BIZ12" s="238"/>
      <c r="BJA12" s="238"/>
      <c r="BJB12" s="238"/>
      <c r="BJC12" s="238"/>
      <c r="BJD12" s="238"/>
      <c r="BJE12" s="238"/>
      <c r="BJF12" s="238"/>
      <c r="BJG12" s="238"/>
      <c r="BJH12" s="238"/>
      <c r="BJI12" s="238"/>
      <c r="BJJ12" s="238"/>
      <c r="BJK12" s="238"/>
      <c r="BJL12" s="238"/>
      <c r="BJM12" s="238"/>
      <c r="BJN12" s="238" t="s">
        <v>66</v>
      </c>
      <c r="BJO12" s="238"/>
      <c r="BJP12" s="238"/>
      <c r="BJQ12" s="238"/>
      <c r="BJR12" s="238"/>
      <c r="BJS12" s="238"/>
      <c r="BJT12" s="238"/>
      <c r="BJU12" s="238"/>
      <c r="BJV12" s="238"/>
      <c r="BJW12" s="238"/>
      <c r="BJX12" s="238"/>
      <c r="BJY12" s="238"/>
      <c r="BJZ12" s="238"/>
      <c r="BKA12" s="238"/>
      <c r="BKB12" s="238"/>
      <c r="BKC12" s="238"/>
      <c r="BKD12" s="238"/>
      <c r="BKE12" s="238"/>
      <c r="BKF12" s="238"/>
      <c r="BKG12" s="238"/>
      <c r="BKH12" s="238"/>
      <c r="BKI12" s="238"/>
      <c r="BKJ12" s="238"/>
      <c r="BKK12" s="238"/>
      <c r="BKL12" s="238"/>
      <c r="BKM12" s="238"/>
      <c r="BKN12" s="238"/>
      <c r="BKO12" s="238"/>
      <c r="BKP12" s="238"/>
      <c r="BKQ12" s="238"/>
      <c r="BKR12" s="238"/>
      <c r="BKS12" s="238"/>
      <c r="BKT12" s="238"/>
      <c r="BKU12" s="238"/>
      <c r="BKV12" s="238"/>
      <c r="BKW12" s="238"/>
      <c r="BKX12" s="238"/>
      <c r="BKY12" s="238"/>
      <c r="BKZ12" s="238"/>
      <c r="BLA12" s="238"/>
      <c r="BLB12" s="238"/>
      <c r="BLC12" s="238"/>
      <c r="BLD12" s="238"/>
      <c r="BLE12" s="238"/>
      <c r="BLF12" s="238"/>
      <c r="BLG12" s="238"/>
      <c r="BLH12" s="238"/>
      <c r="BLI12" s="238"/>
      <c r="BLJ12" s="238"/>
      <c r="BLK12" s="238"/>
      <c r="BLL12" s="238"/>
      <c r="BLM12" s="238"/>
      <c r="BLN12" s="238"/>
      <c r="BLO12" s="238"/>
      <c r="BLP12" s="238"/>
      <c r="BLQ12" s="238"/>
      <c r="BLR12" s="238"/>
      <c r="BLS12" s="238"/>
      <c r="BLT12" s="238"/>
      <c r="BLU12" s="238"/>
      <c r="BLV12" s="73"/>
    </row>
    <row r="13" spans="1:1686" ht="42.75" customHeight="1" thickBot="1" x14ac:dyDescent="0.3">
      <c r="B13" s="51"/>
      <c r="C13" s="223" t="s">
        <v>13</v>
      </c>
      <c r="D13" s="116"/>
      <c r="E13" s="221" t="s">
        <v>14</v>
      </c>
      <c r="F13" s="212" t="s">
        <v>15</v>
      </c>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4"/>
      <c r="BN13" s="212" t="s">
        <v>16</v>
      </c>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3"/>
      <c r="CY13" s="213"/>
      <c r="CZ13" s="213"/>
      <c r="DA13" s="213"/>
      <c r="DB13" s="213"/>
      <c r="DC13" s="213"/>
      <c r="DD13" s="213"/>
      <c r="DE13" s="213"/>
      <c r="DF13" s="213"/>
      <c r="DG13" s="213"/>
      <c r="DH13" s="213"/>
      <c r="DI13" s="213"/>
      <c r="DJ13" s="213"/>
      <c r="DK13" s="213"/>
      <c r="DL13" s="213"/>
      <c r="DM13" s="213"/>
      <c r="DN13" s="213"/>
      <c r="DO13" s="213"/>
      <c r="DP13" s="213"/>
      <c r="DQ13" s="213"/>
      <c r="DR13" s="213"/>
      <c r="DS13" s="213"/>
      <c r="DT13" s="213"/>
      <c r="DU13" s="214"/>
      <c r="DV13" s="212" t="s">
        <v>17</v>
      </c>
      <c r="DW13" s="213"/>
      <c r="DX13" s="213"/>
      <c r="DY13" s="213"/>
      <c r="DZ13" s="213"/>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213"/>
      <c r="FB13" s="213"/>
      <c r="FC13" s="213"/>
      <c r="FD13" s="213"/>
      <c r="FE13" s="213"/>
      <c r="FF13" s="213"/>
      <c r="FG13" s="213"/>
      <c r="FH13" s="213"/>
      <c r="FI13" s="213"/>
      <c r="FJ13" s="213"/>
      <c r="FK13" s="213"/>
      <c r="FL13" s="213"/>
      <c r="FM13" s="213"/>
      <c r="FN13" s="213"/>
      <c r="FO13" s="213"/>
      <c r="FP13" s="213"/>
      <c r="FQ13" s="213"/>
      <c r="FR13" s="213"/>
      <c r="FS13" s="213"/>
      <c r="FT13" s="213"/>
      <c r="FU13" s="213"/>
      <c r="FV13" s="213"/>
      <c r="FW13" s="213"/>
      <c r="FX13" s="213"/>
      <c r="FY13" s="213"/>
      <c r="FZ13" s="213"/>
      <c r="GA13" s="213"/>
      <c r="GB13" s="213"/>
      <c r="GC13" s="214"/>
      <c r="GD13" s="212" t="s">
        <v>140</v>
      </c>
      <c r="GE13" s="213"/>
      <c r="GF13" s="213"/>
      <c r="GG13" s="213"/>
      <c r="GH13" s="213"/>
      <c r="GI13" s="213"/>
      <c r="GJ13" s="213"/>
      <c r="GK13" s="213"/>
      <c r="GL13" s="213"/>
      <c r="GM13" s="213"/>
      <c r="GN13" s="213"/>
      <c r="GO13" s="213"/>
      <c r="GP13" s="213"/>
      <c r="GQ13" s="213"/>
      <c r="GR13" s="213"/>
      <c r="GS13" s="213"/>
      <c r="GT13" s="213"/>
      <c r="GU13" s="213"/>
      <c r="GV13" s="213"/>
      <c r="GW13" s="213"/>
      <c r="GX13" s="213"/>
      <c r="GY13" s="213"/>
      <c r="GZ13" s="213"/>
      <c r="HA13" s="213"/>
      <c r="HB13" s="213"/>
      <c r="HC13" s="213"/>
      <c r="HD13" s="213"/>
      <c r="HE13" s="213"/>
      <c r="HF13" s="213"/>
      <c r="HG13" s="213"/>
      <c r="HH13" s="213"/>
      <c r="HI13" s="213"/>
      <c r="HJ13" s="213"/>
      <c r="HK13" s="213"/>
      <c r="HL13" s="213"/>
      <c r="HM13" s="213"/>
      <c r="HN13" s="213"/>
      <c r="HO13" s="213"/>
      <c r="HP13" s="213"/>
      <c r="HQ13" s="213"/>
      <c r="HR13" s="213"/>
      <c r="HS13" s="213"/>
      <c r="HT13" s="213"/>
      <c r="HU13" s="213"/>
      <c r="HV13" s="213"/>
      <c r="HW13" s="213"/>
      <c r="HX13" s="213"/>
      <c r="HY13" s="213"/>
      <c r="HZ13" s="213"/>
      <c r="IA13" s="213"/>
      <c r="IB13" s="213"/>
      <c r="IC13" s="213"/>
      <c r="ID13" s="213"/>
      <c r="IE13" s="213"/>
      <c r="IF13" s="213"/>
      <c r="IG13" s="213"/>
      <c r="IH13" s="213"/>
      <c r="II13" s="213"/>
      <c r="IJ13" s="213"/>
      <c r="IK13" s="214"/>
      <c r="IL13" s="212" t="s">
        <v>139</v>
      </c>
      <c r="IM13" s="213"/>
      <c r="IN13" s="213"/>
      <c r="IO13" s="213"/>
      <c r="IP13" s="213"/>
      <c r="IQ13" s="213"/>
      <c r="IR13" s="213"/>
      <c r="IS13" s="213"/>
      <c r="IT13" s="213"/>
      <c r="IU13" s="213"/>
      <c r="IV13" s="213"/>
      <c r="IW13" s="213"/>
      <c r="IX13" s="213"/>
      <c r="IY13" s="213"/>
      <c r="IZ13" s="213"/>
      <c r="JA13" s="213"/>
      <c r="JB13" s="213"/>
      <c r="JC13" s="213"/>
      <c r="JD13" s="213"/>
      <c r="JE13" s="213"/>
      <c r="JF13" s="213"/>
      <c r="JG13" s="213"/>
      <c r="JH13" s="213"/>
      <c r="JI13" s="213"/>
      <c r="JJ13" s="213"/>
      <c r="JK13" s="213"/>
      <c r="JL13" s="213"/>
      <c r="JM13" s="213"/>
      <c r="JN13" s="213"/>
      <c r="JO13" s="213"/>
      <c r="JP13" s="213"/>
      <c r="JQ13" s="213"/>
      <c r="JR13" s="213"/>
      <c r="JS13" s="213"/>
      <c r="JT13" s="213"/>
      <c r="JU13" s="213"/>
      <c r="JV13" s="213"/>
      <c r="JW13" s="213"/>
      <c r="JX13" s="213"/>
      <c r="JY13" s="213"/>
      <c r="JZ13" s="213"/>
      <c r="KA13" s="213"/>
      <c r="KB13" s="213"/>
      <c r="KC13" s="213"/>
      <c r="KD13" s="213"/>
      <c r="KE13" s="213"/>
      <c r="KF13" s="213"/>
      <c r="KG13" s="213"/>
      <c r="KH13" s="213"/>
      <c r="KI13" s="213"/>
      <c r="KJ13" s="213"/>
      <c r="KK13" s="213"/>
      <c r="KL13" s="213"/>
      <c r="KM13" s="213"/>
      <c r="KN13" s="213"/>
      <c r="KO13" s="213"/>
      <c r="KP13" s="213"/>
      <c r="KQ13" s="213"/>
      <c r="KR13" s="213"/>
      <c r="KS13" s="214"/>
      <c r="KT13" s="212" t="s">
        <v>137</v>
      </c>
      <c r="KU13" s="213"/>
      <c r="KV13" s="213"/>
      <c r="KW13" s="213"/>
      <c r="KX13" s="213"/>
      <c r="KY13" s="213"/>
      <c r="KZ13" s="213"/>
      <c r="LA13" s="213"/>
      <c r="LB13" s="213"/>
      <c r="LC13" s="213"/>
      <c r="LD13" s="213"/>
      <c r="LE13" s="213"/>
      <c r="LF13" s="213"/>
      <c r="LG13" s="213"/>
      <c r="LH13" s="213"/>
      <c r="LI13" s="213"/>
      <c r="LJ13" s="213"/>
      <c r="LK13" s="213"/>
      <c r="LL13" s="213"/>
      <c r="LM13" s="213"/>
      <c r="LN13" s="213"/>
      <c r="LO13" s="213"/>
      <c r="LP13" s="213"/>
      <c r="LQ13" s="213"/>
      <c r="LR13" s="213"/>
      <c r="LS13" s="213"/>
      <c r="LT13" s="213"/>
      <c r="LU13" s="213"/>
      <c r="LV13" s="213"/>
      <c r="LW13" s="213"/>
      <c r="LX13" s="213"/>
      <c r="LY13" s="213"/>
      <c r="LZ13" s="213"/>
      <c r="MA13" s="213"/>
      <c r="MB13" s="213"/>
      <c r="MC13" s="213"/>
      <c r="MD13" s="213"/>
      <c r="ME13" s="213"/>
      <c r="MF13" s="213"/>
      <c r="MG13" s="213"/>
      <c r="MH13" s="213"/>
      <c r="MI13" s="213"/>
      <c r="MJ13" s="213"/>
      <c r="MK13" s="213"/>
      <c r="ML13" s="213"/>
      <c r="MM13" s="213"/>
      <c r="MN13" s="213"/>
      <c r="MO13" s="213"/>
      <c r="MP13" s="213"/>
      <c r="MQ13" s="213"/>
      <c r="MR13" s="213"/>
      <c r="MS13" s="213"/>
      <c r="MT13" s="213"/>
      <c r="MU13" s="213"/>
      <c r="MV13" s="213"/>
      <c r="MW13" s="213"/>
      <c r="MX13" s="213"/>
      <c r="MY13" s="213"/>
      <c r="MZ13" s="213"/>
      <c r="NA13" s="214"/>
      <c r="NB13" s="212" t="s">
        <v>136</v>
      </c>
      <c r="NC13" s="213"/>
      <c r="ND13" s="213"/>
      <c r="NE13" s="213"/>
      <c r="NF13" s="213"/>
      <c r="NG13" s="213"/>
      <c r="NH13" s="213"/>
      <c r="NI13" s="213"/>
      <c r="NJ13" s="213"/>
      <c r="NK13" s="213"/>
      <c r="NL13" s="213"/>
      <c r="NM13" s="213"/>
      <c r="NN13" s="213"/>
      <c r="NO13" s="213"/>
      <c r="NP13" s="213"/>
      <c r="NQ13" s="213"/>
      <c r="NR13" s="213"/>
      <c r="NS13" s="213"/>
      <c r="NT13" s="213"/>
      <c r="NU13" s="213"/>
      <c r="NV13" s="213"/>
      <c r="NW13" s="213"/>
      <c r="NX13" s="213"/>
      <c r="NY13" s="213"/>
      <c r="NZ13" s="213"/>
      <c r="OA13" s="213"/>
      <c r="OB13" s="213"/>
      <c r="OC13" s="213"/>
      <c r="OD13" s="213"/>
      <c r="OE13" s="213"/>
      <c r="OF13" s="213"/>
      <c r="OG13" s="213"/>
      <c r="OH13" s="213"/>
      <c r="OI13" s="213"/>
      <c r="OJ13" s="213"/>
      <c r="OK13" s="213"/>
      <c r="OL13" s="213"/>
      <c r="OM13" s="213"/>
      <c r="ON13" s="213"/>
      <c r="OO13" s="213"/>
      <c r="OP13" s="213"/>
      <c r="OQ13" s="213"/>
      <c r="OR13" s="213"/>
      <c r="OS13" s="213"/>
      <c r="OT13" s="213"/>
      <c r="OU13" s="213"/>
      <c r="OV13" s="213"/>
      <c r="OW13" s="213"/>
      <c r="OX13" s="213"/>
      <c r="OY13" s="213"/>
      <c r="OZ13" s="213"/>
      <c r="PA13" s="213"/>
      <c r="PB13" s="213"/>
      <c r="PC13" s="213"/>
      <c r="PD13" s="213"/>
      <c r="PE13" s="213"/>
      <c r="PF13" s="213"/>
      <c r="PG13" s="213"/>
      <c r="PH13" s="213"/>
      <c r="PI13" s="214"/>
      <c r="PJ13" s="212" t="s">
        <v>134</v>
      </c>
      <c r="PK13" s="213"/>
      <c r="PL13" s="213"/>
      <c r="PM13" s="213"/>
      <c r="PN13" s="213"/>
      <c r="PO13" s="213"/>
      <c r="PP13" s="213"/>
      <c r="PQ13" s="213"/>
      <c r="PR13" s="213"/>
      <c r="PS13" s="213"/>
      <c r="PT13" s="213"/>
      <c r="PU13" s="213"/>
      <c r="PV13" s="213"/>
      <c r="PW13" s="213"/>
      <c r="PX13" s="213"/>
      <c r="PY13" s="213"/>
      <c r="PZ13" s="213"/>
      <c r="QA13" s="213"/>
      <c r="QB13" s="213"/>
      <c r="QC13" s="213"/>
      <c r="QD13" s="213"/>
      <c r="QE13" s="213"/>
      <c r="QF13" s="213"/>
      <c r="QG13" s="213"/>
      <c r="QH13" s="213"/>
      <c r="QI13" s="213"/>
      <c r="QJ13" s="213"/>
      <c r="QK13" s="213"/>
      <c r="QL13" s="213"/>
      <c r="QM13" s="213"/>
      <c r="QN13" s="213"/>
      <c r="QO13" s="213"/>
      <c r="QP13" s="213"/>
      <c r="QQ13" s="213"/>
      <c r="QR13" s="213"/>
      <c r="QS13" s="213"/>
      <c r="QT13" s="213"/>
      <c r="QU13" s="213"/>
      <c r="QV13" s="213"/>
      <c r="QW13" s="213"/>
      <c r="QX13" s="213"/>
      <c r="QY13" s="213"/>
      <c r="QZ13" s="213"/>
      <c r="RA13" s="213"/>
      <c r="RB13" s="213"/>
      <c r="RC13" s="213"/>
      <c r="RD13" s="213"/>
      <c r="RE13" s="213"/>
      <c r="RF13" s="213"/>
      <c r="RG13" s="213"/>
      <c r="RH13" s="213"/>
      <c r="RI13" s="213"/>
      <c r="RJ13" s="213"/>
      <c r="RK13" s="213"/>
      <c r="RL13" s="213"/>
      <c r="RM13" s="213"/>
      <c r="RN13" s="213"/>
      <c r="RO13" s="213"/>
      <c r="RP13" s="213"/>
      <c r="RQ13" s="214"/>
      <c r="RR13" s="212" t="s">
        <v>132</v>
      </c>
      <c r="RS13" s="213"/>
      <c r="RT13" s="213"/>
      <c r="RU13" s="213"/>
      <c r="RV13" s="213"/>
      <c r="RW13" s="213"/>
      <c r="RX13" s="213"/>
      <c r="RY13" s="213"/>
      <c r="RZ13" s="213"/>
      <c r="SA13" s="213"/>
      <c r="SB13" s="213"/>
      <c r="SC13" s="213"/>
      <c r="SD13" s="213"/>
      <c r="SE13" s="213"/>
      <c r="SF13" s="213"/>
      <c r="SG13" s="213"/>
      <c r="SH13" s="213"/>
      <c r="SI13" s="213"/>
      <c r="SJ13" s="213"/>
      <c r="SK13" s="213"/>
      <c r="SL13" s="213"/>
      <c r="SM13" s="213"/>
      <c r="SN13" s="213"/>
      <c r="SO13" s="213"/>
      <c r="SP13" s="213"/>
      <c r="SQ13" s="213"/>
      <c r="SR13" s="213"/>
      <c r="SS13" s="213"/>
      <c r="ST13" s="213"/>
      <c r="SU13" s="213"/>
      <c r="SV13" s="213"/>
      <c r="SW13" s="213"/>
      <c r="SX13" s="213"/>
      <c r="SY13" s="213"/>
      <c r="SZ13" s="213"/>
      <c r="TA13" s="213"/>
      <c r="TB13" s="213"/>
      <c r="TC13" s="213"/>
      <c r="TD13" s="213"/>
      <c r="TE13" s="213"/>
      <c r="TF13" s="213"/>
      <c r="TG13" s="213"/>
      <c r="TH13" s="213"/>
      <c r="TI13" s="213"/>
      <c r="TJ13" s="213"/>
      <c r="TK13" s="213"/>
      <c r="TL13" s="213"/>
      <c r="TM13" s="213"/>
      <c r="TN13" s="213"/>
      <c r="TO13" s="213"/>
      <c r="TP13" s="213"/>
      <c r="TQ13" s="213"/>
      <c r="TR13" s="213"/>
      <c r="TS13" s="213"/>
      <c r="TT13" s="213"/>
      <c r="TU13" s="213"/>
      <c r="TV13" s="213"/>
      <c r="TW13" s="213"/>
      <c r="TX13" s="213"/>
      <c r="TY13" s="214"/>
      <c r="TZ13" s="212" t="s">
        <v>131</v>
      </c>
      <c r="UA13" s="213"/>
      <c r="UB13" s="213"/>
      <c r="UC13" s="213"/>
      <c r="UD13" s="213"/>
      <c r="UE13" s="213"/>
      <c r="UF13" s="213"/>
      <c r="UG13" s="213"/>
      <c r="UH13" s="213"/>
      <c r="UI13" s="213"/>
      <c r="UJ13" s="213"/>
      <c r="UK13" s="213"/>
      <c r="UL13" s="213"/>
      <c r="UM13" s="213"/>
      <c r="UN13" s="213"/>
      <c r="UO13" s="213"/>
      <c r="UP13" s="213"/>
      <c r="UQ13" s="213"/>
      <c r="UR13" s="213"/>
      <c r="US13" s="213"/>
      <c r="UT13" s="213"/>
      <c r="UU13" s="213"/>
      <c r="UV13" s="213"/>
      <c r="UW13" s="213"/>
      <c r="UX13" s="213"/>
      <c r="UY13" s="213"/>
      <c r="UZ13" s="213"/>
      <c r="VA13" s="213"/>
      <c r="VB13" s="213"/>
      <c r="VC13" s="213"/>
      <c r="VD13" s="213"/>
      <c r="VE13" s="213"/>
      <c r="VF13" s="213"/>
      <c r="VG13" s="213"/>
      <c r="VH13" s="213"/>
      <c r="VI13" s="213"/>
      <c r="VJ13" s="213"/>
      <c r="VK13" s="213"/>
      <c r="VL13" s="213"/>
      <c r="VM13" s="213"/>
      <c r="VN13" s="213"/>
      <c r="VO13" s="213"/>
      <c r="VP13" s="213"/>
      <c r="VQ13" s="213"/>
      <c r="VR13" s="213"/>
      <c r="VS13" s="213"/>
      <c r="VT13" s="213"/>
      <c r="VU13" s="213"/>
      <c r="VV13" s="213"/>
      <c r="VW13" s="213"/>
      <c r="VX13" s="213"/>
      <c r="VY13" s="213"/>
      <c r="VZ13" s="213"/>
      <c r="WA13" s="213"/>
      <c r="WB13" s="213"/>
      <c r="WC13" s="213"/>
      <c r="WD13" s="213"/>
      <c r="WE13" s="213"/>
      <c r="WF13" s="213"/>
      <c r="WG13" s="214"/>
      <c r="WH13" s="212" t="s">
        <v>129</v>
      </c>
      <c r="WI13" s="213"/>
      <c r="WJ13" s="213"/>
      <c r="WK13" s="213"/>
      <c r="WL13" s="213"/>
      <c r="WM13" s="213"/>
      <c r="WN13" s="213"/>
      <c r="WO13" s="213"/>
      <c r="WP13" s="213"/>
      <c r="WQ13" s="213"/>
      <c r="WR13" s="213"/>
      <c r="WS13" s="213"/>
      <c r="WT13" s="213"/>
      <c r="WU13" s="213"/>
      <c r="WV13" s="213"/>
      <c r="WW13" s="213"/>
      <c r="WX13" s="213"/>
      <c r="WY13" s="213"/>
      <c r="WZ13" s="213"/>
      <c r="XA13" s="213"/>
      <c r="XB13" s="213"/>
      <c r="XC13" s="213"/>
      <c r="XD13" s="213"/>
      <c r="XE13" s="213"/>
      <c r="XF13" s="213"/>
      <c r="XG13" s="213"/>
      <c r="XH13" s="213"/>
      <c r="XI13" s="213"/>
      <c r="XJ13" s="213"/>
      <c r="XK13" s="213"/>
      <c r="XL13" s="213"/>
      <c r="XM13" s="213"/>
      <c r="XN13" s="213"/>
      <c r="XO13" s="213"/>
      <c r="XP13" s="213"/>
      <c r="XQ13" s="213"/>
      <c r="XR13" s="213"/>
      <c r="XS13" s="213"/>
      <c r="XT13" s="213"/>
      <c r="XU13" s="213"/>
      <c r="XV13" s="213"/>
      <c r="XW13" s="213"/>
      <c r="XX13" s="213"/>
      <c r="XY13" s="213"/>
      <c r="XZ13" s="213"/>
      <c r="YA13" s="213"/>
      <c r="YB13" s="213"/>
      <c r="YC13" s="213"/>
      <c r="YD13" s="213"/>
      <c r="YE13" s="213"/>
      <c r="YF13" s="213"/>
      <c r="YG13" s="213"/>
      <c r="YH13" s="213"/>
      <c r="YI13" s="213"/>
      <c r="YJ13" s="213"/>
      <c r="YK13" s="213"/>
      <c r="YL13" s="213"/>
      <c r="YM13" s="213"/>
      <c r="YN13" s="213"/>
      <c r="YO13" s="214"/>
      <c r="YP13" s="212" t="s">
        <v>128</v>
      </c>
      <c r="YQ13" s="213"/>
      <c r="YR13" s="213"/>
      <c r="YS13" s="213"/>
      <c r="YT13" s="213"/>
      <c r="YU13" s="213"/>
      <c r="YV13" s="213"/>
      <c r="YW13" s="213"/>
      <c r="YX13" s="213"/>
      <c r="YY13" s="213"/>
      <c r="YZ13" s="213"/>
      <c r="ZA13" s="213"/>
      <c r="ZB13" s="213"/>
      <c r="ZC13" s="213"/>
      <c r="ZD13" s="213"/>
      <c r="ZE13" s="213"/>
      <c r="ZF13" s="213"/>
      <c r="ZG13" s="213"/>
      <c r="ZH13" s="213"/>
      <c r="ZI13" s="213"/>
      <c r="ZJ13" s="213"/>
      <c r="ZK13" s="213"/>
      <c r="ZL13" s="213"/>
      <c r="ZM13" s="213"/>
      <c r="ZN13" s="213"/>
      <c r="ZO13" s="213"/>
      <c r="ZP13" s="213"/>
      <c r="ZQ13" s="213"/>
      <c r="ZR13" s="213"/>
      <c r="ZS13" s="213"/>
      <c r="ZT13" s="213"/>
      <c r="ZU13" s="213"/>
      <c r="ZV13" s="213"/>
      <c r="ZW13" s="213"/>
      <c r="ZX13" s="213"/>
      <c r="ZY13" s="213"/>
      <c r="ZZ13" s="213"/>
      <c r="AAA13" s="213"/>
      <c r="AAB13" s="213"/>
      <c r="AAC13" s="213"/>
      <c r="AAD13" s="213"/>
      <c r="AAE13" s="213"/>
      <c r="AAF13" s="213"/>
      <c r="AAG13" s="213"/>
      <c r="AAH13" s="213"/>
      <c r="AAI13" s="213"/>
      <c r="AAJ13" s="213"/>
      <c r="AAK13" s="213"/>
      <c r="AAL13" s="213"/>
      <c r="AAM13" s="213"/>
      <c r="AAN13" s="213"/>
      <c r="AAO13" s="213"/>
      <c r="AAP13" s="213"/>
      <c r="AAQ13" s="213"/>
      <c r="AAR13" s="213"/>
      <c r="AAS13" s="213"/>
      <c r="AAT13" s="213"/>
      <c r="AAU13" s="213"/>
      <c r="AAV13" s="213"/>
      <c r="AAW13" s="214"/>
      <c r="AAX13" s="212" t="s">
        <v>126</v>
      </c>
      <c r="AAY13" s="213"/>
      <c r="AAZ13" s="213"/>
      <c r="ABA13" s="213"/>
      <c r="ABB13" s="213"/>
      <c r="ABC13" s="213"/>
      <c r="ABD13" s="213"/>
      <c r="ABE13" s="213"/>
      <c r="ABF13" s="213"/>
      <c r="ABG13" s="213"/>
      <c r="ABH13" s="213"/>
      <c r="ABI13" s="213"/>
      <c r="ABJ13" s="213"/>
      <c r="ABK13" s="213"/>
      <c r="ABL13" s="213"/>
      <c r="ABM13" s="213"/>
      <c r="ABN13" s="213"/>
      <c r="ABO13" s="213"/>
      <c r="ABP13" s="213"/>
      <c r="ABQ13" s="213"/>
      <c r="ABR13" s="213"/>
      <c r="ABS13" s="213"/>
      <c r="ABT13" s="213"/>
      <c r="ABU13" s="213"/>
      <c r="ABV13" s="213"/>
      <c r="ABW13" s="213"/>
      <c r="ABX13" s="213"/>
      <c r="ABY13" s="213"/>
      <c r="ABZ13" s="213"/>
      <c r="ACA13" s="213"/>
      <c r="ACB13" s="213"/>
      <c r="ACC13" s="213"/>
      <c r="ACD13" s="213"/>
      <c r="ACE13" s="213"/>
      <c r="ACF13" s="213"/>
      <c r="ACG13" s="213"/>
      <c r="ACH13" s="213"/>
      <c r="ACI13" s="213"/>
      <c r="ACJ13" s="213"/>
      <c r="ACK13" s="213"/>
      <c r="ACL13" s="213"/>
      <c r="ACM13" s="213"/>
      <c r="ACN13" s="213"/>
      <c r="ACO13" s="213"/>
      <c r="ACP13" s="213"/>
      <c r="ACQ13" s="213"/>
      <c r="ACR13" s="213"/>
      <c r="ACS13" s="213"/>
      <c r="ACT13" s="213"/>
      <c r="ACU13" s="213"/>
      <c r="ACV13" s="213"/>
      <c r="ACW13" s="213"/>
      <c r="ACX13" s="213"/>
      <c r="ACY13" s="213"/>
      <c r="ACZ13" s="213"/>
      <c r="ADA13" s="213"/>
      <c r="ADB13" s="213"/>
      <c r="ADC13" s="213"/>
      <c r="ADD13" s="213"/>
      <c r="ADE13" s="214"/>
      <c r="ADF13" s="212" t="s">
        <v>125</v>
      </c>
      <c r="ADG13" s="213"/>
      <c r="ADH13" s="213"/>
      <c r="ADI13" s="213"/>
      <c r="ADJ13" s="213"/>
      <c r="ADK13" s="213"/>
      <c r="ADL13" s="213"/>
      <c r="ADM13" s="213"/>
      <c r="ADN13" s="213"/>
      <c r="ADO13" s="213"/>
      <c r="ADP13" s="213"/>
      <c r="ADQ13" s="213"/>
      <c r="ADR13" s="213"/>
      <c r="ADS13" s="213"/>
      <c r="ADT13" s="213"/>
      <c r="ADU13" s="213"/>
      <c r="ADV13" s="213"/>
      <c r="ADW13" s="213"/>
      <c r="ADX13" s="213"/>
      <c r="ADY13" s="213"/>
      <c r="ADZ13" s="213"/>
      <c r="AEA13" s="213"/>
      <c r="AEB13" s="213"/>
      <c r="AEC13" s="213"/>
      <c r="AED13" s="213"/>
      <c r="AEE13" s="213"/>
      <c r="AEF13" s="213"/>
      <c r="AEG13" s="213"/>
      <c r="AEH13" s="213"/>
      <c r="AEI13" s="213"/>
      <c r="AEJ13" s="213"/>
      <c r="AEK13" s="213"/>
      <c r="AEL13" s="213"/>
      <c r="AEM13" s="213"/>
      <c r="AEN13" s="213"/>
      <c r="AEO13" s="213"/>
      <c r="AEP13" s="213"/>
      <c r="AEQ13" s="213"/>
      <c r="AER13" s="213"/>
      <c r="AES13" s="213"/>
      <c r="AET13" s="213"/>
      <c r="AEU13" s="213"/>
      <c r="AEV13" s="213"/>
      <c r="AEW13" s="213"/>
      <c r="AEX13" s="213"/>
      <c r="AEY13" s="213"/>
      <c r="AEZ13" s="213"/>
      <c r="AFA13" s="213"/>
      <c r="AFB13" s="213"/>
      <c r="AFC13" s="213"/>
      <c r="AFD13" s="213"/>
      <c r="AFE13" s="213"/>
      <c r="AFF13" s="213"/>
      <c r="AFG13" s="213"/>
      <c r="AFH13" s="213"/>
      <c r="AFI13" s="213"/>
      <c r="AFJ13" s="213"/>
      <c r="AFK13" s="213"/>
      <c r="AFL13" s="213"/>
      <c r="AFM13" s="214"/>
      <c r="AFN13" s="212" t="s">
        <v>123</v>
      </c>
      <c r="AFO13" s="213"/>
      <c r="AFP13" s="213"/>
      <c r="AFQ13" s="213"/>
      <c r="AFR13" s="213"/>
      <c r="AFS13" s="213"/>
      <c r="AFT13" s="213"/>
      <c r="AFU13" s="213"/>
      <c r="AFV13" s="213"/>
      <c r="AFW13" s="213"/>
      <c r="AFX13" s="213"/>
      <c r="AFY13" s="213"/>
      <c r="AFZ13" s="213"/>
      <c r="AGA13" s="213"/>
      <c r="AGB13" s="213"/>
      <c r="AGC13" s="213"/>
      <c r="AGD13" s="213"/>
      <c r="AGE13" s="213"/>
      <c r="AGF13" s="213"/>
      <c r="AGG13" s="213"/>
      <c r="AGH13" s="213"/>
      <c r="AGI13" s="213"/>
      <c r="AGJ13" s="213"/>
      <c r="AGK13" s="213"/>
      <c r="AGL13" s="213"/>
      <c r="AGM13" s="213"/>
      <c r="AGN13" s="213"/>
      <c r="AGO13" s="213"/>
      <c r="AGP13" s="213"/>
      <c r="AGQ13" s="213"/>
      <c r="AGR13" s="213"/>
      <c r="AGS13" s="213"/>
      <c r="AGT13" s="213"/>
      <c r="AGU13" s="213"/>
      <c r="AGV13" s="213"/>
      <c r="AGW13" s="213"/>
      <c r="AGX13" s="213"/>
      <c r="AGY13" s="213"/>
      <c r="AGZ13" s="213"/>
      <c r="AHA13" s="213"/>
      <c r="AHB13" s="213"/>
      <c r="AHC13" s="213"/>
      <c r="AHD13" s="213"/>
      <c r="AHE13" s="213"/>
      <c r="AHF13" s="213"/>
      <c r="AHG13" s="213"/>
      <c r="AHH13" s="213"/>
      <c r="AHI13" s="213"/>
      <c r="AHJ13" s="213"/>
      <c r="AHK13" s="213"/>
      <c r="AHL13" s="213"/>
      <c r="AHM13" s="213"/>
      <c r="AHN13" s="213"/>
      <c r="AHO13" s="213"/>
      <c r="AHP13" s="213"/>
      <c r="AHQ13" s="213"/>
      <c r="AHR13" s="213"/>
      <c r="AHS13" s="213"/>
      <c r="AHT13" s="213"/>
      <c r="AHU13" s="214"/>
      <c r="AHV13" s="212" t="s">
        <v>122</v>
      </c>
      <c r="AHW13" s="213"/>
      <c r="AHX13" s="213"/>
      <c r="AHY13" s="213"/>
      <c r="AHZ13" s="213"/>
      <c r="AIA13" s="213"/>
      <c r="AIB13" s="213"/>
      <c r="AIC13" s="213"/>
      <c r="AID13" s="213"/>
      <c r="AIE13" s="213"/>
      <c r="AIF13" s="213"/>
      <c r="AIG13" s="213"/>
      <c r="AIH13" s="213"/>
      <c r="AII13" s="213"/>
      <c r="AIJ13" s="213"/>
      <c r="AIK13" s="213"/>
      <c r="AIL13" s="213"/>
      <c r="AIM13" s="213"/>
      <c r="AIN13" s="213"/>
      <c r="AIO13" s="213"/>
      <c r="AIP13" s="213"/>
      <c r="AIQ13" s="213"/>
      <c r="AIR13" s="213"/>
      <c r="AIS13" s="213"/>
      <c r="AIT13" s="213"/>
      <c r="AIU13" s="213"/>
      <c r="AIV13" s="213"/>
      <c r="AIW13" s="213"/>
      <c r="AIX13" s="213"/>
      <c r="AIY13" s="213"/>
      <c r="AIZ13" s="213"/>
      <c r="AJA13" s="213"/>
      <c r="AJB13" s="213"/>
      <c r="AJC13" s="213"/>
      <c r="AJD13" s="213"/>
      <c r="AJE13" s="213"/>
      <c r="AJF13" s="213"/>
      <c r="AJG13" s="213"/>
      <c r="AJH13" s="213"/>
      <c r="AJI13" s="213"/>
      <c r="AJJ13" s="213"/>
      <c r="AJK13" s="213"/>
      <c r="AJL13" s="213"/>
      <c r="AJM13" s="213"/>
      <c r="AJN13" s="213"/>
      <c r="AJO13" s="213"/>
      <c r="AJP13" s="213"/>
      <c r="AJQ13" s="213"/>
      <c r="AJR13" s="213"/>
      <c r="AJS13" s="213"/>
      <c r="AJT13" s="213"/>
      <c r="AJU13" s="213"/>
      <c r="AJV13" s="213"/>
      <c r="AJW13" s="213"/>
      <c r="AJX13" s="213"/>
      <c r="AJY13" s="213"/>
      <c r="AJZ13" s="213"/>
      <c r="AKA13" s="213"/>
      <c r="AKB13" s="213"/>
      <c r="AKC13" s="214"/>
      <c r="AKD13" s="212" t="s">
        <v>120</v>
      </c>
      <c r="AKE13" s="213"/>
      <c r="AKF13" s="213"/>
      <c r="AKG13" s="213"/>
      <c r="AKH13" s="213"/>
      <c r="AKI13" s="213"/>
      <c r="AKJ13" s="213"/>
      <c r="AKK13" s="213"/>
      <c r="AKL13" s="213"/>
      <c r="AKM13" s="213"/>
      <c r="AKN13" s="213"/>
      <c r="AKO13" s="213"/>
      <c r="AKP13" s="213"/>
      <c r="AKQ13" s="213"/>
      <c r="AKR13" s="213"/>
      <c r="AKS13" s="213"/>
      <c r="AKT13" s="213"/>
      <c r="AKU13" s="213"/>
      <c r="AKV13" s="213"/>
      <c r="AKW13" s="213"/>
      <c r="AKX13" s="213"/>
      <c r="AKY13" s="213"/>
      <c r="AKZ13" s="213"/>
      <c r="ALA13" s="213"/>
      <c r="ALB13" s="213"/>
      <c r="ALC13" s="213"/>
      <c r="ALD13" s="213"/>
      <c r="ALE13" s="213"/>
      <c r="ALF13" s="213"/>
      <c r="ALG13" s="213"/>
      <c r="ALH13" s="213"/>
      <c r="ALI13" s="213"/>
      <c r="ALJ13" s="213"/>
      <c r="ALK13" s="213"/>
      <c r="ALL13" s="213"/>
      <c r="ALM13" s="213"/>
      <c r="ALN13" s="213"/>
      <c r="ALO13" s="213"/>
      <c r="ALP13" s="213"/>
      <c r="ALQ13" s="213"/>
      <c r="ALR13" s="213"/>
      <c r="ALS13" s="213"/>
      <c r="ALT13" s="213"/>
      <c r="ALU13" s="213"/>
      <c r="ALV13" s="213"/>
      <c r="ALW13" s="213"/>
      <c r="ALX13" s="213"/>
      <c r="ALY13" s="213"/>
      <c r="ALZ13" s="213"/>
      <c r="AMA13" s="213"/>
      <c r="AMB13" s="213"/>
      <c r="AMC13" s="213"/>
      <c r="AMD13" s="213"/>
      <c r="AME13" s="213"/>
      <c r="AMF13" s="213"/>
      <c r="AMG13" s="213"/>
      <c r="AMH13" s="213"/>
      <c r="AMI13" s="213"/>
      <c r="AMJ13" s="213"/>
      <c r="AMK13" s="214"/>
      <c r="AML13" s="212" t="s">
        <v>118</v>
      </c>
      <c r="AMM13" s="213"/>
      <c r="AMN13" s="213"/>
      <c r="AMO13" s="213"/>
      <c r="AMP13" s="213"/>
      <c r="AMQ13" s="213"/>
      <c r="AMR13" s="213"/>
      <c r="AMS13" s="213"/>
      <c r="AMT13" s="213"/>
      <c r="AMU13" s="213"/>
      <c r="AMV13" s="213"/>
      <c r="AMW13" s="213"/>
      <c r="AMX13" s="213"/>
      <c r="AMY13" s="213"/>
      <c r="AMZ13" s="213"/>
      <c r="ANA13" s="213"/>
      <c r="ANB13" s="213"/>
      <c r="ANC13" s="213"/>
      <c r="AND13" s="213"/>
      <c r="ANE13" s="213"/>
      <c r="ANF13" s="213"/>
      <c r="ANG13" s="213"/>
      <c r="ANH13" s="213"/>
      <c r="ANI13" s="213"/>
      <c r="ANJ13" s="213"/>
      <c r="ANK13" s="213"/>
      <c r="ANL13" s="213"/>
      <c r="ANM13" s="213"/>
      <c r="ANN13" s="213"/>
      <c r="ANO13" s="213"/>
      <c r="ANP13" s="213"/>
      <c r="ANQ13" s="213"/>
      <c r="ANR13" s="213"/>
      <c r="ANS13" s="213"/>
      <c r="ANT13" s="213"/>
      <c r="ANU13" s="213"/>
      <c r="ANV13" s="213"/>
      <c r="ANW13" s="213"/>
      <c r="ANX13" s="213"/>
      <c r="ANY13" s="213"/>
      <c r="ANZ13" s="213"/>
      <c r="AOA13" s="213"/>
      <c r="AOB13" s="213"/>
      <c r="AOC13" s="213"/>
      <c r="AOD13" s="213"/>
      <c r="AOE13" s="213"/>
      <c r="AOF13" s="213"/>
      <c r="AOG13" s="213"/>
      <c r="AOH13" s="213"/>
      <c r="AOI13" s="213"/>
      <c r="AOJ13" s="213"/>
      <c r="AOK13" s="213"/>
      <c r="AOL13" s="213"/>
      <c r="AOM13" s="213"/>
      <c r="AON13" s="213"/>
      <c r="AOO13" s="213"/>
      <c r="AOP13" s="213"/>
      <c r="AOQ13" s="213"/>
      <c r="AOR13" s="213"/>
      <c r="AOS13" s="214"/>
      <c r="AOT13" s="212" t="s">
        <v>117</v>
      </c>
      <c r="AOU13" s="213"/>
      <c r="AOV13" s="213"/>
      <c r="AOW13" s="213"/>
      <c r="AOX13" s="213"/>
      <c r="AOY13" s="213"/>
      <c r="AOZ13" s="213"/>
      <c r="APA13" s="213"/>
      <c r="APB13" s="213"/>
      <c r="APC13" s="213"/>
      <c r="APD13" s="213"/>
      <c r="APE13" s="213"/>
      <c r="APF13" s="213"/>
      <c r="APG13" s="213"/>
      <c r="APH13" s="213"/>
      <c r="API13" s="213"/>
      <c r="APJ13" s="213"/>
      <c r="APK13" s="213"/>
      <c r="APL13" s="213"/>
      <c r="APM13" s="213"/>
      <c r="APN13" s="213"/>
      <c r="APO13" s="213"/>
      <c r="APP13" s="213"/>
      <c r="APQ13" s="213"/>
      <c r="APR13" s="213"/>
      <c r="APS13" s="213"/>
      <c r="APT13" s="213"/>
      <c r="APU13" s="213"/>
      <c r="APV13" s="213"/>
      <c r="APW13" s="213"/>
      <c r="APX13" s="213"/>
      <c r="APY13" s="213"/>
      <c r="APZ13" s="213"/>
      <c r="AQA13" s="213"/>
      <c r="AQB13" s="213"/>
      <c r="AQC13" s="213"/>
      <c r="AQD13" s="213"/>
      <c r="AQE13" s="213"/>
      <c r="AQF13" s="213"/>
      <c r="AQG13" s="213"/>
      <c r="AQH13" s="213"/>
      <c r="AQI13" s="213"/>
      <c r="AQJ13" s="213"/>
      <c r="AQK13" s="213"/>
      <c r="AQL13" s="213"/>
      <c r="AQM13" s="213"/>
      <c r="AQN13" s="213"/>
      <c r="AQO13" s="213"/>
      <c r="AQP13" s="213"/>
      <c r="AQQ13" s="213"/>
      <c r="AQR13" s="213"/>
      <c r="AQS13" s="213"/>
      <c r="AQT13" s="213"/>
      <c r="AQU13" s="213"/>
      <c r="AQV13" s="213"/>
      <c r="AQW13" s="213"/>
      <c r="AQX13" s="213"/>
      <c r="AQY13" s="213"/>
      <c r="AQZ13" s="213"/>
      <c r="ARA13" s="214"/>
      <c r="ARB13" s="212" t="s">
        <v>115</v>
      </c>
      <c r="ARC13" s="213"/>
      <c r="ARD13" s="213"/>
      <c r="ARE13" s="213"/>
      <c r="ARF13" s="213"/>
      <c r="ARG13" s="213"/>
      <c r="ARH13" s="213"/>
      <c r="ARI13" s="213"/>
      <c r="ARJ13" s="213"/>
      <c r="ARK13" s="213"/>
      <c r="ARL13" s="213"/>
      <c r="ARM13" s="213"/>
      <c r="ARN13" s="213"/>
      <c r="ARO13" s="213"/>
      <c r="ARP13" s="213"/>
      <c r="ARQ13" s="213"/>
      <c r="ARR13" s="213"/>
      <c r="ARS13" s="213"/>
      <c r="ART13" s="213"/>
      <c r="ARU13" s="213"/>
      <c r="ARV13" s="213"/>
      <c r="ARW13" s="213"/>
      <c r="ARX13" s="213"/>
      <c r="ARY13" s="213"/>
      <c r="ARZ13" s="213"/>
      <c r="ASA13" s="213"/>
      <c r="ASB13" s="213"/>
      <c r="ASC13" s="213"/>
      <c r="ASD13" s="213"/>
      <c r="ASE13" s="213"/>
      <c r="ASF13" s="213"/>
      <c r="ASG13" s="213"/>
      <c r="ASH13" s="213"/>
      <c r="ASI13" s="213"/>
      <c r="ASJ13" s="213"/>
      <c r="ASK13" s="213"/>
      <c r="ASL13" s="213"/>
      <c r="ASM13" s="213"/>
      <c r="ASN13" s="213"/>
      <c r="ASO13" s="213"/>
      <c r="ASP13" s="213"/>
      <c r="ASQ13" s="213"/>
      <c r="ASR13" s="213"/>
      <c r="ASS13" s="213"/>
      <c r="AST13" s="213"/>
      <c r="ASU13" s="213"/>
      <c r="ASV13" s="213"/>
      <c r="ASW13" s="213"/>
      <c r="ASX13" s="213"/>
      <c r="ASY13" s="213"/>
      <c r="ASZ13" s="213"/>
      <c r="ATA13" s="213"/>
      <c r="ATB13" s="213"/>
      <c r="ATC13" s="213"/>
      <c r="ATD13" s="213"/>
      <c r="ATE13" s="213"/>
      <c r="ATF13" s="213"/>
      <c r="ATG13" s="213"/>
      <c r="ATH13" s="213"/>
      <c r="ATI13" s="214"/>
      <c r="ATJ13" s="212" t="s">
        <v>114</v>
      </c>
      <c r="ATK13" s="213"/>
      <c r="ATL13" s="213"/>
      <c r="ATM13" s="213"/>
      <c r="ATN13" s="213"/>
      <c r="ATO13" s="213"/>
      <c r="ATP13" s="213"/>
      <c r="ATQ13" s="213"/>
      <c r="ATR13" s="213"/>
      <c r="ATS13" s="213"/>
      <c r="ATT13" s="213"/>
      <c r="ATU13" s="213"/>
      <c r="ATV13" s="213"/>
      <c r="ATW13" s="213"/>
      <c r="ATX13" s="213"/>
      <c r="ATY13" s="213"/>
      <c r="ATZ13" s="213"/>
      <c r="AUA13" s="213"/>
      <c r="AUB13" s="213"/>
      <c r="AUC13" s="213"/>
      <c r="AUD13" s="213"/>
      <c r="AUE13" s="213"/>
      <c r="AUF13" s="213"/>
      <c r="AUG13" s="213"/>
      <c r="AUH13" s="213"/>
      <c r="AUI13" s="213"/>
      <c r="AUJ13" s="213"/>
      <c r="AUK13" s="213"/>
      <c r="AUL13" s="213"/>
      <c r="AUM13" s="213"/>
      <c r="AUN13" s="213"/>
      <c r="AUO13" s="213"/>
      <c r="AUP13" s="213"/>
      <c r="AUQ13" s="213"/>
      <c r="AUR13" s="213"/>
      <c r="AUS13" s="213"/>
      <c r="AUT13" s="213"/>
      <c r="AUU13" s="213"/>
      <c r="AUV13" s="213"/>
      <c r="AUW13" s="213"/>
      <c r="AUX13" s="213"/>
      <c r="AUY13" s="213"/>
      <c r="AUZ13" s="213"/>
      <c r="AVA13" s="213"/>
      <c r="AVB13" s="213"/>
      <c r="AVC13" s="213"/>
      <c r="AVD13" s="213"/>
      <c r="AVE13" s="213"/>
      <c r="AVF13" s="213"/>
      <c r="AVG13" s="213"/>
      <c r="AVH13" s="213"/>
      <c r="AVI13" s="213"/>
      <c r="AVJ13" s="213"/>
      <c r="AVK13" s="213"/>
      <c r="AVL13" s="213"/>
      <c r="AVM13" s="213"/>
      <c r="AVN13" s="213"/>
      <c r="AVO13" s="213"/>
      <c r="AVP13" s="213"/>
      <c r="AVQ13" s="214"/>
      <c r="AVR13" s="212" t="s">
        <v>112</v>
      </c>
      <c r="AVS13" s="213"/>
      <c r="AVT13" s="213"/>
      <c r="AVU13" s="213"/>
      <c r="AVV13" s="213"/>
      <c r="AVW13" s="213"/>
      <c r="AVX13" s="213"/>
      <c r="AVY13" s="213"/>
      <c r="AVZ13" s="213"/>
      <c r="AWA13" s="213"/>
      <c r="AWB13" s="213"/>
      <c r="AWC13" s="213"/>
      <c r="AWD13" s="213"/>
      <c r="AWE13" s="213"/>
      <c r="AWF13" s="213"/>
      <c r="AWG13" s="213"/>
      <c r="AWH13" s="213"/>
      <c r="AWI13" s="213"/>
      <c r="AWJ13" s="213"/>
      <c r="AWK13" s="213"/>
      <c r="AWL13" s="213"/>
      <c r="AWM13" s="213"/>
      <c r="AWN13" s="213"/>
      <c r="AWO13" s="213"/>
      <c r="AWP13" s="213"/>
      <c r="AWQ13" s="213"/>
      <c r="AWR13" s="213"/>
      <c r="AWS13" s="213"/>
      <c r="AWT13" s="213"/>
      <c r="AWU13" s="213"/>
      <c r="AWV13" s="213"/>
      <c r="AWW13" s="213"/>
      <c r="AWX13" s="213"/>
      <c r="AWY13" s="213"/>
      <c r="AWZ13" s="213"/>
      <c r="AXA13" s="213"/>
      <c r="AXB13" s="213"/>
      <c r="AXC13" s="213"/>
      <c r="AXD13" s="213"/>
      <c r="AXE13" s="213"/>
      <c r="AXF13" s="213"/>
      <c r="AXG13" s="213"/>
      <c r="AXH13" s="213"/>
      <c r="AXI13" s="213"/>
      <c r="AXJ13" s="213"/>
      <c r="AXK13" s="213"/>
      <c r="AXL13" s="213"/>
      <c r="AXM13" s="213"/>
      <c r="AXN13" s="213"/>
      <c r="AXO13" s="213"/>
      <c r="AXP13" s="213"/>
      <c r="AXQ13" s="213"/>
      <c r="AXR13" s="213"/>
      <c r="AXS13" s="213"/>
      <c r="AXT13" s="213"/>
      <c r="AXU13" s="213"/>
      <c r="AXV13" s="213"/>
      <c r="AXW13" s="213"/>
      <c r="AXX13" s="213"/>
      <c r="AXY13" s="214"/>
      <c r="AXZ13" s="212" t="s">
        <v>111</v>
      </c>
      <c r="AYA13" s="213"/>
      <c r="AYB13" s="213"/>
      <c r="AYC13" s="213"/>
      <c r="AYD13" s="213"/>
      <c r="AYE13" s="213"/>
      <c r="AYF13" s="213"/>
      <c r="AYG13" s="213"/>
      <c r="AYH13" s="213"/>
      <c r="AYI13" s="213"/>
      <c r="AYJ13" s="213"/>
      <c r="AYK13" s="213"/>
      <c r="AYL13" s="213"/>
      <c r="AYM13" s="213"/>
      <c r="AYN13" s="213"/>
      <c r="AYO13" s="213"/>
      <c r="AYP13" s="213"/>
      <c r="AYQ13" s="213"/>
      <c r="AYR13" s="213"/>
      <c r="AYS13" s="213"/>
      <c r="AYT13" s="213"/>
      <c r="AYU13" s="213"/>
      <c r="AYV13" s="213"/>
      <c r="AYW13" s="213"/>
      <c r="AYX13" s="213"/>
      <c r="AYY13" s="213"/>
      <c r="AYZ13" s="213"/>
      <c r="AZA13" s="213"/>
      <c r="AZB13" s="213"/>
      <c r="AZC13" s="213"/>
      <c r="AZD13" s="213"/>
      <c r="AZE13" s="213"/>
      <c r="AZF13" s="213"/>
      <c r="AZG13" s="213"/>
      <c r="AZH13" s="213"/>
      <c r="AZI13" s="213"/>
      <c r="AZJ13" s="213"/>
      <c r="AZK13" s="213"/>
      <c r="AZL13" s="213"/>
      <c r="AZM13" s="213"/>
      <c r="AZN13" s="213"/>
      <c r="AZO13" s="213"/>
      <c r="AZP13" s="213"/>
      <c r="AZQ13" s="213"/>
      <c r="AZR13" s="213"/>
      <c r="AZS13" s="213"/>
      <c r="AZT13" s="213"/>
      <c r="AZU13" s="213"/>
      <c r="AZV13" s="213"/>
      <c r="AZW13" s="213"/>
      <c r="AZX13" s="213"/>
      <c r="AZY13" s="213"/>
      <c r="AZZ13" s="213"/>
      <c r="BAA13" s="213"/>
      <c r="BAB13" s="213"/>
      <c r="BAC13" s="213"/>
      <c r="BAD13" s="213"/>
      <c r="BAE13" s="213"/>
      <c r="BAF13" s="213"/>
      <c r="BAG13" s="214"/>
      <c r="BAH13" s="212" t="s">
        <v>109</v>
      </c>
      <c r="BAI13" s="213"/>
      <c r="BAJ13" s="213"/>
      <c r="BAK13" s="213"/>
      <c r="BAL13" s="213"/>
      <c r="BAM13" s="213"/>
      <c r="BAN13" s="213"/>
      <c r="BAO13" s="213"/>
      <c r="BAP13" s="213"/>
      <c r="BAQ13" s="213"/>
      <c r="BAR13" s="213"/>
      <c r="BAS13" s="213"/>
      <c r="BAT13" s="213"/>
      <c r="BAU13" s="213"/>
      <c r="BAV13" s="213"/>
      <c r="BAW13" s="213"/>
      <c r="BAX13" s="213"/>
      <c r="BAY13" s="213"/>
      <c r="BAZ13" s="213"/>
      <c r="BBA13" s="213"/>
      <c r="BBB13" s="213"/>
      <c r="BBC13" s="213"/>
      <c r="BBD13" s="213"/>
      <c r="BBE13" s="213"/>
      <c r="BBF13" s="213"/>
      <c r="BBG13" s="213"/>
      <c r="BBH13" s="213"/>
      <c r="BBI13" s="213"/>
      <c r="BBJ13" s="213"/>
      <c r="BBK13" s="213"/>
      <c r="BBL13" s="213"/>
      <c r="BBM13" s="213"/>
      <c r="BBN13" s="213"/>
      <c r="BBO13" s="213"/>
      <c r="BBP13" s="213"/>
      <c r="BBQ13" s="213"/>
      <c r="BBR13" s="213"/>
      <c r="BBS13" s="213"/>
      <c r="BBT13" s="213"/>
      <c r="BBU13" s="213"/>
      <c r="BBV13" s="213"/>
      <c r="BBW13" s="213"/>
      <c r="BBX13" s="213"/>
      <c r="BBY13" s="213"/>
      <c r="BBZ13" s="213"/>
      <c r="BCA13" s="213"/>
      <c r="BCB13" s="213"/>
      <c r="BCC13" s="213"/>
      <c r="BCD13" s="213"/>
      <c r="BCE13" s="213"/>
      <c r="BCF13" s="213"/>
      <c r="BCG13" s="213"/>
      <c r="BCH13" s="213"/>
      <c r="BCI13" s="213"/>
      <c r="BCJ13" s="213"/>
      <c r="BCK13" s="213"/>
      <c r="BCL13" s="213"/>
      <c r="BCM13" s="213"/>
      <c r="BCN13" s="213"/>
      <c r="BCO13" s="214"/>
      <c r="BCP13" s="212" t="s">
        <v>108</v>
      </c>
      <c r="BCQ13" s="213"/>
      <c r="BCR13" s="213"/>
      <c r="BCS13" s="213"/>
      <c r="BCT13" s="213"/>
      <c r="BCU13" s="213"/>
      <c r="BCV13" s="213"/>
      <c r="BCW13" s="213"/>
      <c r="BCX13" s="213"/>
      <c r="BCY13" s="213"/>
      <c r="BCZ13" s="213"/>
      <c r="BDA13" s="213"/>
      <c r="BDB13" s="213"/>
      <c r="BDC13" s="213"/>
      <c r="BDD13" s="213"/>
      <c r="BDE13" s="213"/>
      <c r="BDF13" s="213"/>
      <c r="BDG13" s="213"/>
      <c r="BDH13" s="213"/>
      <c r="BDI13" s="213"/>
      <c r="BDJ13" s="213"/>
      <c r="BDK13" s="213"/>
      <c r="BDL13" s="213"/>
      <c r="BDM13" s="213"/>
      <c r="BDN13" s="213"/>
      <c r="BDO13" s="213"/>
      <c r="BDP13" s="213"/>
      <c r="BDQ13" s="213"/>
      <c r="BDR13" s="213"/>
      <c r="BDS13" s="213"/>
      <c r="BDT13" s="213"/>
      <c r="BDU13" s="213"/>
      <c r="BDV13" s="213"/>
      <c r="BDW13" s="213"/>
      <c r="BDX13" s="213"/>
      <c r="BDY13" s="213"/>
      <c r="BDZ13" s="213"/>
      <c r="BEA13" s="213"/>
      <c r="BEB13" s="213"/>
      <c r="BEC13" s="213"/>
      <c r="BED13" s="213"/>
      <c r="BEE13" s="213"/>
      <c r="BEF13" s="213"/>
      <c r="BEG13" s="213"/>
      <c r="BEH13" s="213"/>
      <c r="BEI13" s="213"/>
      <c r="BEJ13" s="213"/>
      <c r="BEK13" s="213"/>
      <c r="BEL13" s="213"/>
      <c r="BEM13" s="213"/>
      <c r="BEN13" s="213"/>
      <c r="BEO13" s="213"/>
      <c r="BEP13" s="213"/>
      <c r="BEQ13" s="213"/>
      <c r="BER13" s="213"/>
      <c r="BES13" s="213"/>
      <c r="BET13" s="213"/>
      <c r="BEU13" s="213"/>
      <c r="BEV13" s="213"/>
      <c r="BEW13" s="214"/>
      <c r="BEX13" s="212" t="s">
        <v>106</v>
      </c>
      <c r="BEY13" s="213"/>
      <c r="BEZ13" s="213"/>
      <c r="BFA13" s="213"/>
      <c r="BFB13" s="213"/>
      <c r="BFC13" s="213"/>
      <c r="BFD13" s="213"/>
      <c r="BFE13" s="213"/>
      <c r="BFF13" s="213"/>
      <c r="BFG13" s="213"/>
      <c r="BFH13" s="213"/>
      <c r="BFI13" s="213"/>
      <c r="BFJ13" s="213"/>
      <c r="BFK13" s="213"/>
      <c r="BFL13" s="213"/>
      <c r="BFM13" s="213"/>
      <c r="BFN13" s="213"/>
      <c r="BFO13" s="213"/>
      <c r="BFP13" s="213"/>
      <c r="BFQ13" s="213"/>
      <c r="BFR13" s="213"/>
      <c r="BFS13" s="213"/>
      <c r="BFT13" s="213"/>
      <c r="BFU13" s="213"/>
      <c r="BFV13" s="213"/>
      <c r="BFW13" s="213"/>
      <c r="BFX13" s="213"/>
      <c r="BFY13" s="213"/>
      <c r="BFZ13" s="213"/>
      <c r="BGA13" s="213"/>
      <c r="BGB13" s="213"/>
      <c r="BGC13" s="213"/>
      <c r="BGD13" s="213"/>
      <c r="BGE13" s="213"/>
      <c r="BGF13" s="213"/>
      <c r="BGG13" s="213"/>
      <c r="BGH13" s="213"/>
      <c r="BGI13" s="213"/>
      <c r="BGJ13" s="213"/>
      <c r="BGK13" s="213"/>
      <c r="BGL13" s="213"/>
      <c r="BGM13" s="213"/>
      <c r="BGN13" s="213"/>
      <c r="BGO13" s="213"/>
      <c r="BGP13" s="213"/>
      <c r="BGQ13" s="213"/>
      <c r="BGR13" s="213"/>
      <c r="BGS13" s="213"/>
      <c r="BGT13" s="213"/>
      <c r="BGU13" s="213"/>
      <c r="BGV13" s="213"/>
      <c r="BGW13" s="213"/>
      <c r="BGX13" s="213"/>
      <c r="BGY13" s="213"/>
      <c r="BGZ13" s="213"/>
      <c r="BHA13" s="213"/>
      <c r="BHB13" s="213"/>
      <c r="BHC13" s="213"/>
      <c r="BHD13" s="213"/>
      <c r="BHE13" s="214"/>
      <c r="BHF13" s="212" t="s">
        <v>104</v>
      </c>
      <c r="BHG13" s="213"/>
      <c r="BHH13" s="213"/>
      <c r="BHI13" s="213"/>
      <c r="BHJ13" s="213"/>
      <c r="BHK13" s="213"/>
      <c r="BHL13" s="213"/>
      <c r="BHM13" s="213"/>
      <c r="BHN13" s="213"/>
      <c r="BHO13" s="213"/>
      <c r="BHP13" s="213"/>
      <c r="BHQ13" s="213"/>
      <c r="BHR13" s="213"/>
      <c r="BHS13" s="213"/>
      <c r="BHT13" s="213"/>
      <c r="BHU13" s="213"/>
      <c r="BHV13" s="213"/>
      <c r="BHW13" s="213"/>
      <c r="BHX13" s="213"/>
      <c r="BHY13" s="213"/>
      <c r="BHZ13" s="213"/>
      <c r="BIA13" s="213"/>
      <c r="BIB13" s="213"/>
      <c r="BIC13" s="213"/>
      <c r="BID13" s="213"/>
      <c r="BIE13" s="213"/>
      <c r="BIF13" s="213"/>
      <c r="BIG13" s="213"/>
      <c r="BIH13" s="213"/>
      <c r="BII13" s="213"/>
      <c r="BIJ13" s="213"/>
      <c r="BIK13" s="213"/>
      <c r="BIL13" s="213"/>
      <c r="BIM13" s="213"/>
      <c r="BIN13" s="213"/>
      <c r="BIO13" s="213"/>
      <c r="BIP13" s="213"/>
      <c r="BIQ13" s="213"/>
      <c r="BIR13" s="213"/>
      <c r="BIS13" s="213"/>
      <c r="BIT13" s="213"/>
      <c r="BIU13" s="213"/>
      <c r="BIV13" s="213"/>
      <c r="BIW13" s="213"/>
      <c r="BIX13" s="213"/>
      <c r="BIY13" s="213"/>
      <c r="BIZ13" s="213"/>
      <c r="BJA13" s="213"/>
      <c r="BJB13" s="213"/>
      <c r="BJC13" s="213"/>
      <c r="BJD13" s="213"/>
      <c r="BJE13" s="213"/>
      <c r="BJF13" s="213"/>
      <c r="BJG13" s="213"/>
      <c r="BJH13" s="213"/>
      <c r="BJI13" s="213"/>
      <c r="BJJ13" s="213"/>
      <c r="BJK13" s="213"/>
      <c r="BJL13" s="213"/>
      <c r="BJM13" s="214"/>
      <c r="BJN13" s="212" t="s">
        <v>102</v>
      </c>
      <c r="BJO13" s="213"/>
      <c r="BJP13" s="213"/>
      <c r="BJQ13" s="213"/>
      <c r="BJR13" s="213"/>
      <c r="BJS13" s="213"/>
      <c r="BJT13" s="213"/>
      <c r="BJU13" s="213"/>
      <c r="BJV13" s="213"/>
      <c r="BJW13" s="213"/>
      <c r="BJX13" s="213"/>
      <c r="BJY13" s="213"/>
      <c r="BJZ13" s="213"/>
      <c r="BKA13" s="213"/>
      <c r="BKB13" s="213"/>
      <c r="BKC13" s="213"/>
      <c r="BKD13" s="213"/>
      <c r="BKE13" s="213"/>
      <c r="BKF13" s="213"/>
      <c r="BKG13" s="213"/>
      <c r="BKH13" s="213"/>
      <c r="BKI13" s="213"/>
      <c r="BKJ13" s="213"/>
      <c r="BKK13" s="213"/>
      <c r="BKL13" s="213"/>
      <c r="BKM13" s="213"/>
      <c r="BKN13" s="213"/>
      <c r="BKO13" s="213"/>
      <c r="BKP13" s="213"/>
      <c r="BKQ13" s="213"/>
      <c r="BKR13" s="213"/>
      <c r="BKS13" s="213"/>
      <c r="BKT13" s="213"/>
      <c r="BKU13" s="213"/>
      <c r="BKV13" s="213"/>
      <c r="BKW13" s="213"/>
      <c r="BKX13" s="213"/>
      <c r="BKY13" s="213"/>
      <c r="BKZ13" s="213"/>
      <c r="BLA13" s="213"/>
      <c r="BLB13" s="213"/>
      <c r="BLC13" s="213"/>
      <c r="BLD13" s="213"/>
      <c r="BLE13" s="213"/>
      <c r="BLF13" s="213"/>
      <c r="BLG13" s="213"/>
      <c r="BLH13" s="213"/>
      <c r="BLI13" s="213"/>
      <c r="BLJ13" s="213"/>
      <c r="BLK13" s="213"/>
      <c r="BLL13" s="213"/>
      <c r="BLM13" s="213"/>
      <c r="BLN13" s="213"/>
      <c r="BLO13" s="213"/>
      <c r="BLP13" s="213"/>
      <c r="BLQ13" s="213"/>
      <c r="BLR13" s="213"/>
      <c r="BLS13" s="213"/>
      <c r="BLT13" s="213"/>
      <c r="BLU13" s="214"/>
      <c r="BLV13" s="73"/>
    </row>
    <row r="14" spans="1:1686" ht="12.75" customHeight="1" thickBot="1" x14ac:dyDescent="0.35">
      <c r="B14" s="51"/>
      <c r="C14" s="224"/>
      <c r="D14" s="117"/>
      <c r="E14" s="222"/>
      <c r="F14" s="80"/>
      <c r="G14" s="81"/>
      <c r="H14" s="81"/>
      <c r="I14" s="81"/>
      <c r="J14" s="209" t="s">
        <v>18</v>
      </c>
      <c r="K14" s="209"/>
      <c r="L14" s="209"/>
      <c r="M14" s="209"/>
      <c r="N14" s="81"/>
      <c r="O14" s="81"/>
      <c r="P14" s="211" t="s">
        <v>19</v>
      </c>
      <c r="Q14" s="211"/>
      <c r="R14" s="211"/>
      <c r="S14" s="211"/>
      <c r="T14" s="101"/>
      <c r="U14" s="101"/>
      <c r="V14" s="209" t="s">
        <v>20</v>
      </c>
      <c r="W14" s="209"/>
      <c r="X14" s="209"/>
      <c r="Y14" s="209"/>
      <c r="Z14" s="81"/>
      <c r="AA14" s="81"/>
      <c r="AB14" s="211" t="s">
        <v>21</v>
      </c>
      <c r="AC14" s="211"/>
      <c r="AD14" s="211"/>
      <c r="AE14" s="211"/>
      <c r="AF14" s="101"/>
      <c r="AG14" s="101"/>
      <c r="AH14" s="209" t="s">
        <v>22</v>
      </c>
      <c r="AI14" s="209"/>
      <c r="AJ14" s="209"/>
      <c r="AK14" s="209"/>
      <c r="AL14" s="81"/>
      <c r="AM14" s="81"/>
      <c r="AN14" s="211" t="s">
        <v>23</v>
      </c>
      <c r="AO14" s="211"/>
      <c r="AP14" s="211"/>
      <c r="AQ14" s="211"/>
      <c r="AR14" s="101"/>
      <c r="AS14" s="101"/>
      <c r="AT14" s="209" t="s">
        <v>24</v>
      </c>
      <c r="AU14" s="209"/>
      <c r="AV14" s="209"/>
      <c r="AW14" s="209"/>
      <c r="AX14" s="81"/>
      <c r="AY14" s="81"/>
      <c r="AZ14" s="211" t="s">
        <v>25</v>
      </c>
      <c r="BA14" s="211"/>
      <c r="BB14" s="211"/>
      <c r="BC14" s="211"/>
      <c r="BD14" s="101"/>
      <c r="BE14" s="101"/>
      <c r="BF14" s="209" t="s">
        <v>26</v>
      </c>
      <c r="BG14" s="209"/>
      <c r="BH14" s="209"/>
      <c r="BI14" s="209"/>
      <c r="BJ14" s="81"/>
      <c r="BK14" s="81"/>
      <c r="BL14" s="81"/>
      <c r="BM14" s="82"/>
      <c r="BN14" s="80"/>
      <c r="BO14" s="81"/>
      <c r="BP14" s="81"/>
      <c r="BQ14" s="81"/>
      <c r="BR14" s="209" t="s">
        <v>18</v>
      </c>
      <c r="BS14" s="209"/>
      <c r="BT14" s="209"/>
      <c r="BU14" s="209"/>
      <c r="BV14" s="81"/>
      <c r="BW14" s="81"/>
      <c r="BX14" s="211" t="s">
        <v>19</v>
      </c>
      <c r="BY14" s="211"/>
      <c r="BZ14" s="211"/>
      <c r="CA14" s="211"/>
      <c r="CB14" s="101"/>
      <c r="CC14" s="101"/>
      <c r="CD14" s="209" t="s">
        <v>20</v>
      </c>
      <c r="CE14" s="209"/>
      <c r="CF14" s="209"/>
      <c r="CG14" s="209"/>
      <c r="CH14" s="81"/>
      <c r="CI14" s="81"/>
      <c r="CJ14" s="211" t="s">
        <v>21</v>
      </c>
      <c r="CK14" s="211"/>
      <c r="CL14" s="211"/>
      <c r="CM14" s="211"/>
      <c r="CN14" s="101"/>
      <c r="CO14" s="101"/>
      <c r="CP14" s="209" t="s">
        <v>22</v>
      </c>
      <c r="CQ14" s="209"/>
      <c r="CR14" s="209"/>
      <c r="CS14" s="209"/>
      <c r="CT14" s="81"/>
      <c r="CU14" s="81"/>
      <c r="CV14" s="211" t="s">
        <v>23</v>
      </c>
      <c r="CW14" s="211"/>
      <c r="CX14" s="211"/>
      <c r="CY14" s="211"/>
      <c r="CZ14" s="101"/>
      <c r="DA14" s="101"/>
      <c r="DB14" s="209" t="s">
        <v>24</v>
      </c>
      <c r="DC14" s="209"/>
      <c r="DD14" s="209"/>
      <c r="DE14" s="209"/>
      <c r="DF14" s="81"/>
      <c r="DG14" s="81"/>
      <c r="DH14" s="211" t="s">
        <v>25</v>
      </c>
      <c r="DI14" s="211"/>
      <c r="DJ14" s="211"/>
      <c r="DK14" s="211"/>
      <c r="DL14" s="101"/>
      <c r="DM14" s="101"/>
      <c r="DN14" s="209" t="s">
        <v>26</v>
      </c>
      <c r="DO14" s="209"/>
      <c r="DP14" s="209"/>
      <c r="DQ14" s="209"/>
      <c r="DR14" s="81"/>
      <c r="DS14" s="81"/>
      <c r="DT14" s="81"/>
      <c r="DU14" s="82"/>
      <c r="DV14" s="80"/>
      <c r="DW14" s="81"/>
      <c r="DX14" s="81"/>
      <c r="DY14" s="81"/>
      <c r="DZ14" s="209" t="s">
        <v>18</v>
      </c>
      <c r="EA14" s="209"/>
      <c r="EB14" s="209"/>
      <c r="EC14" s="209"/>
      <c r="ED14" s="81"/>
      <c r="EE14" s="81"/>
      <c r="EF14" s="211" t="s">
        <v>19</v>
      </c>
      <c r="EG14" s="211"/>
      <c r="EH14" s="211"/>
      <c r="EI14" s="211"/>
      <c r="EJ14" s="101"/>
      <c r="EK14" s="101"/>
      <c r="EL14" s="209" t="s">
        <v>20</v>
      </c>
      <c r="EM14" s="209"/>
      <c r="EN14" s="209"/>
      <c r="EO14" s="209"/>
      <c r="EP14" s="81"/>
      <c r="EQ14" s="81"/>
      <c r="ER14" s="211" t="s">
        <v>21</v>
      </c>
      <c r="ES14" s="211"/>
      <c r="ET14" s="211"/>
      <c r="EU14" s="211"/>
      <c r="EV14" s="101"/>
      <c r="EW14" s="101"/>
      <c r="EX14" s="209" t="s">
        <v>22</v>
      </c>
      <c r="EY14" s="209"/>
      <c r="EZ14" s="209"/>
      <c r="FA14" s="209"/>
      <c r="FB14" s="81"/>
      <c r="FC14" s="81"/>
      <c r="FD14" s="211" t="s">
        <v>23</v>
      </c>
      <c r="FE14" s="211"/>
      <c r="FF14" s="211"/>
      <c r="FG14" s="211"/>
      <c r="FH14" s="101"/>
      <c r="FI14" s="101"/>
      <c r="FJ14" s="209" t="s">
        <v>24</v>
      </c>
      <c r="FK14" s="209"/>
      <c r="FL14" s="209"/>
      <c r="FM14" s="209"/>
      <c r="FN14" s="81"/>
      <c r="FO14" s="81"/>
      <c r="FP14" s="211" t="s">
        <v>25</v>
      </c>
      <c r="FQ14" s="211"/>
      <c r="FR14" s="211"/>
      <c r="FS14" s="211"/>
      <c r="FT14" s="101"/>
      <c r="FU14" s="101"/>
      <c r="FV14" s="209" t="s">
        <v>26</v>
      </c>
      <c r="FW14" s="209"/>
      <c r="FX14" s="209"/>
      <c r="FY14" s="209"/>
      <c r="FZ14" s="81"/>
      <c r="GA14" s="81"/>
      <c r="GB14" s="81"/>
      <c r="GC14" s="82"/>
      <c r="GD14" s="80"/>
      <c r="GE14" s="81"/>
      <c r="GF14" s="81"/>
      <c r="GG14" s="81"/>
      <c r="GH14" s="209" t="s">
        <v>18</v>
      </c>
      <c r="GI14" s="209"/>
      <c r="GJ14" s="209"/>
      <c r="GK14" s="209"/>
      <c r="GL14" s="81"/>
      <c r="GM14" s="81"/>
      <c r="GN14" s="211" t="s">
        <v>19</v>
      </c>
      <c r="GO14" s="211"/>
      <c r="GP14" s="211"/>
      <c r="GQ14" s="211"/>
      <c r="GR14" s="101"/>
      <c r="GS14" s="101"/>
      <c r="GT14" s="209" t="s">
        <v>20</v>
      </c>
      <c r="GU14" s="209"/>
      <c r="GV14" s="209"/>
      <c r="GW14" s="209"/>
      <c r="GX14" s="81"/>
      <c r="GY14" s="81"/>
      <c r="GZ14" s="211" t="s">
        <v>21</v>
      </c>
      <c r="HA14" s="211"/>
      <c r="HB14" s="211"/>
      <c r="HC14" s="211"/>
      <c r="HD14" s="101"/>
      <c r="HE14" s="101"/>
      <c r="HF14" s="209" t="s">
        <v>22</v>
      </c>
      <c r="HG14" s="209"/>
      <c r="HH14" s="209"/>
      <c r="HI14" s="209"/>
      <c r="HJ14" s="81"/>
      <c r="HK14" s="81"/>
      <c r="HL14" s="211" t="s">
        <v>23</v>
      </c>
      <c r="HM14" s="211"/>
      <c r="HN14" s="211"/>
      <c r="HO14" s="211"/>
      <c r="HP14" s="101"/>
      <c r="HQ14" s="101"/>
      <c r="HR14" s="209" t="s">
        <v>24</v>
      </c>
      <c r="HS14" s="209"/>
      <c r="HT14" s="209"/>
      <c r="HU14" s="209"/>
      <c r="HV14" s="81"/>
      <c r="HW14" s="81"/>
      <c r="HX14" s="211" t="s">
        <v>25</v>
      </c>
      <c r="HY14" s="211"/>
      <c r="HZ14" s="211"/>
      <c r="IA14" s="211"/>
      <c r="IB14" s="101"/>
      <c r="IC14" s="101"/>
      <c r="ID14" s="209" t="s">
        <v>26</v>
      </c>
      <c r="IE14" s="209"/>
      <c r="IF14" s="209"/>
      <c r="IG14" s="209"/>
      <c r="IH14" s="81"/>
      <c r="II14" s="81"/>
      <c r="IJ14" s="81"/>
      <c r="IK14" s="82"/>
      <c r="IL14" s="80"/>
      <c r="IM14" s="81"/>
      <c r="IN14" s="81"/>
      <c r="IO14" s="81"/>
      <c r="IP14" s="209" t="s">
        <v>18</v>
      </c>
      <c r="IQ14" s="209"/>
      <c r="IR14" s="209"/>
      <c r="IS14" s="209"/>
      <c r="IT14" s="81"/>
      <c r="IU14" s="81"/>
      <c r="IV14" s="211" t="s">
        <v>19</v>
      </c>
      <c r="IW14" s="211"/>
      <c r="IX14" s="211"/>
      <c r="IY14" s="211"/>
      <c r="IZ14" s="101"/>
      <c r="JA14" s="101"/>
      <c r="JB14" s="209" t="s">
        <v>20</v>
      </c>
      <c r="JC14" s="209"/>
      <c r="JD14" s="209"/>
      <c r="JE14" s="209"/>
      <c r="JF14" s="81"/>
      <c r="JG14" s="81"/>
      <c r="JH14" s="211" t="s">
        <v>21</v>
      </c>
      <c r="JI14" s="211"/>
      <c r="JJ14" s="211"/>
      <c r="JK14" s="211"/>
      <c r="JL14" s="101"/>
      <c r="JM14" s="101"/>
      <c r="JN14" s="209" t="s">
        <v>22</v>
      </c>
      <c r="JO14" s="209"/>
      <c r="JP14" s="209"/>
      <c r="JQ14" s="209"/>
      <c r="JR14" s="81"/>
      <c r="JS14" s="81"/>
      <c r="JT14" s="211" t="s">
        <v>23</v>
      </c>
      <c r="JU14" s="211"/>
      <c r="JV14" s="211"/>
      <c r="JW14" s="211"/>
      <c r="JX14" s="101"/>
      <c r="JY14" s="101"/>
      <c r="JZ14" s="209" t="s">
        <v>24</v>
      </c>
      <c r="KA14" s="209"/>
      <c r="KB14" s="209"/>
      <c r="KC14" s="209"/>
      <c r="KD14" s="81"/>
      <c r="KE14" s="81"/>
      <c r="KF14" s="211" t="s">
        <v>25</v>
      </c>
      <c r="KG14" s="211"/>
      <c r="KH14" s="211"/>
      <c r="KI14" s="211"/>
      <c r="KJ14" s="101"/>
      <c r="KK14" s="101"/>
      <c r="KL14" s="209" t="s">
        <v>26</v>
      </c>
      <c r="KM14" s="209"/>
      <c r="KN14" s="209"/>
      <c r="KO14" s="209"/>
      <c r="KP14" s="81"/>
      <c r="KQ14" s="81"/>
      <c r="KR14" s="81"/>
      <c r="KS14" s="82"/>
      <c r="KT14" s="80"/>
      <c r="KU14" s="81"/>
      <c r="KV14" s="81"/>
      <c r="KW14" s="81"/>
      <c r="KX14" s="209" t="s">
        <v>18</v>
      </c>
      <c r="KY14" s="209"/>
      <c r="KZ14" s="209"/>
      <c r="LA14" s="209"/>
      <c r="LB14" s="81"/>
      <c r="LC14" s="81"/>
      <c r="LD14" s="211" t="s">
        <v>19</v>
      </c>
      <c r="LE14" s="211"/>
      <c r="LF14" s="211"/>
      <c r="LG14" s="211"/>
      <c r="LH14" s="101"/>
      <c r="LI14" s="101"/>
      <c r="LJ14" s="209" t="s">
        <v>20</v>
      </c>
      <c r="LK14" s="209"/>
      <c r="LL14" s="209"/>
      <c r="LM14" s="209"/>
      <c r="LN14" s="81"/>
      <c r="LO14" s="81"/>
      <c r="LP14" s="211" t="s">
        <v>21</v>
      </c>
      <c r="LQ14" s="211"/>
      <c r="LR14" s="211"/>
      <c r="LS14" s="211"/>
      <c r="LT14" s="101"/>
      <c r="LU14" s="101"/>
      <c r="LV14" s="209" t="s">
        <v>22</v>
      </c>
      <c r="LW14" s="209"/>
      <c r="LX14" s="209"/>
      <c r="LY14" s="209"/>
      <c r="LZ14" s="81"/>
      <c r="MA14" s="81"/>
      <c r="MB14" s="211" t="s">
        <v>23</v>
      </c>
      <c r="MC14" s="211"/>
      <c r="MD14" s="211"/>
      <c r="ME14" s="211"/>
      <c r="MF14" s="101"/>
      <c r="MG14" s="101"/>
      <c r="MH14" s="209" t="s">
        <v>24</v>
      </c>
      <c r="MI14" s="209"/>
      <c r="MJ14" s="209"/>
      <c r="MK14" s="209"/>
      <c r="ML14" s="81"/>
      <c r="MM14" s="81"/>
      <c r="MN14" s="211" t="s">
        <v>25</v>
      </c>
      <c r="MO14" s="211"/>
      <c r="MP14" s="211"/>
      <c r="MQ14" s="211"/>
      <c r="MR14" s="101"/>
      <c r="MS14" s="101"/>
      <c r="MT14" s="209" t="s">
        <v>26</v>
      </c>
      <c r="MU14" s="209"/>
      <c r="MV14" s="209"/>
      <c r="MW14" s="209"/>
      <c r="MX14" s="81"/>
      <c r="MY14" s="81"/>
      <c r="MZ14" s="81"/>
      <c r="NA14" s="82"/>
      <c r="NB14" s="80"/>
      <c r="NC14" s="81"/>
      <c r="ND14" s="81"/>
      <c r="NE14" s="81"/>
      <c r="NF14" s="209" t="s">
        <v>18</v>
      </c>
      <c r="NG14" s="209"/>
      <c r="NH14" s="209"/>
      <c r="NI14" s="209"/>
      <c r="NJ14" s="81"/>
      <c r="NK14" s="81"/>
      <c r="NL14" s="211" t="s">
        <v>19</v>
      </c>
      <c r="NM14" s="211"/>
      <c r="NN14" s="211"/>
      <c r="NO14" s="211"/>
      <c r="NP14" s="101"/>
      <c r="NQ14" s="101"/>
      <c r="NR14" s="209" t="s">
        <v>20</v>
      </c>
      <c r="NS14" s="209"/>
      <c r="NT14" s="209"/>
      <c r="NU14" s="209"/>
      <c r="NV14" s="81"/>
      <c r="NW14" s="81"/>
      <c r="NX14" s="211" t="s">
        <v>21</v>
      </c>
      <c r="NY14" s="211"/>
      <c r="NZ14" s="211"/>
      <c r="OA14" s="211"/>
      <c r="OB14" s="101"/>
      <c r="OC14" s="101"/>
      <c r="OD14" s="209" t="s">
        <v>22</v>
      </c>
      <c r="OE14" s="209"/>
      <c r="OF14" s="209"/>
      <c r="OG14" s="209"/>
      <c r="OH14" s="81"/>
      <c r="OI14" s="81"/>
      <c r="OJ14" s="211" t="s">
        <v>23</v>
      </c>
      <c r="OK14" s="211"/>
      <c r="OL14" s="211"/>
      <c r="OM14" s="211"/>
      <c r="ON14" s="101"/>
      <c r="OO14" s="101"/>
      <c r="OP14" s="209" t="s">
        <v>24</v>
      </c>
      <c r="OQ14" s="209"/>
      <c r="OR14" s="209"/>
      <c r="OS14" s="209"/>
      <c r="OT14" s="81"/>
      <c r="OU14" s="81"/>
      <c r="OV14" s="211" t="s">
        <v>25</v>
      </c>
      <c r="OW14" s="211"/>
      <c r="OX14" s="211"/>
      <c r="OY14" s="211"/>
      <c r="OZ14" s="101"/>
      <c r="PA14" s="101"/>
      <c r="PB14" s="209" t="s">
        <v>26</v>
      </c>
      <c r="PC14" s="209"/>
      <c r="PD14" s="209"/>
      <c r="PE14" s="209"/>
      <c r="PF14" s="81"/>
      <c r="PG14" s="81"/>
      <c r="PH14" s="81"/>
      <c r="PI14" s="82"/>
      <c r="PJ14" s="80"/>
      <c r="PK14" s="81"/>
      <c r="PL14" s="81"/>
      <c r="PM14" s="81"/>
      <c r="PN14" s="209" t="s">
        <v>18</v>
      </c>
      <c r="PO14" s="209"/>
      <c r="PP14" s="209"/>
      <c r="PQ14" s="209"/>
      <c r="PR14" s="81"/>
      <c r="PS14" s="81"/>
      <c r="PT14" s="211" t="s">
        <v>19</v>
      </c>
      <c r="PU14" s="211"/>
      <c r="PV14" s="211"/>
      <c r="PW14" s="211"/>
      <c r="PX14" s="101"/>
      <c r="PY14" s="101"/>
      <c r="PZ14" s="209" t="s">
        <v>20</v>
      </c>
      <c r="QA14" s="209"/>
      <c r="QB14" s="209"/>
      <c r="QC14" s="209"/>
      <c r="QD14" s="81"/>
      <c r="QE14" s="81"/>
      <c r="QF14" s="211" t="s">
        <v>21</v>
      </c>
      <c r="QG14" s="211"/>
      <c r="QH14" s="211"/>
      <c r="QI14" s="211"/>
      <c r="QJ14" s="101"/>
      <c r="QK14" s="101"/>
      <c r="QL14" s="209" t="s">
        <v>22</v>
      </c>
      <c r="QM14" s="209"/>
      <c r="QN14" s="209"/>
      <c r="QO14" s="209"/>
      <c r="QP14" s="81"/>
      <c r="QQ14" s="81"/>
      <c r="QR14" s="211" t="s">
        <v>23</v>
      </c>
      <c r="QS14" s="211"/>
      <c r="QT14" s="211"/>
      <c r="QU14" s="211"/>
      <c r="QV14" s="101"/>
      <c r="QW14" s="101"/>
      <c r="QX14" s="209" t="s">
        <v>24</v>
      </c>
      <c r="QY14" s="209"/>
      <c r="QZ14" s="209"/>
      <c r="RA14" s="209"/>
      <c r="RB14" s="81"/>
      <c r="RC14" s="81"/>
      <c r="RD14" s="211" t="s">
        <v>25</v>
      </c>
      <c r="RE14" s="211"/>
      <c r="RF14" s="211"/>
      <c r="RG14" s="211"/>
      <c r="RH14" s="101"/>
      <c r="RI14" s="101"/>
      <c r="RJ14" s="209" t="s">
        <v>26</v>
      </c>
      <c r="RK14" s="209"/>
      <c r="RL14" s="209"/>
      <c r="RM14" s="209"/>
      <c r="RN14" s="81"/>
      <c r="RO14" s="81"/>
      <c r="RP14" s="81"/>
      <c r="RQ14" s="82"/>
      <c r="RR14" s="80"/>
      <c r="RS14" s="81"/>
      <c r="RT14" s="81"/>
      <c r="RU14" s="81"/>
      <c r="RV14" s="209" t="s">
        <v>18</v>
      </c>
      <c r="RW14" s="209"/>
      <c r="RX14" s="209"/>
      <c r="RY14" s="209"/>
      <c r="RZ14" s="81"/>
      <c r="SA14" s="81"/>
      <c r="SB14" s="211" t="s">
        <v>19</v>
      </c>
      <c r="SC14" s="211"/>
      <c r="SD14" s="211"/>
      <c r="SE14" s="211"/>
      <c r="SF14" s="101"/>
      <c r="SG14" s="101"/>
      <c r="SH14" s="209" t="s">
        <v>20</v>
      </c>
      <c r="SI14" s="209"/>
      <c r="SJ14" s="209"/>
      <c r="SK14" s="209"/>
      <c r="SL14" s="81"/>
      <c r="SM14" s="81"/>
      <c r="SN14" s="211" t="s">
        <v>21</v>
      </c>
      <c r="SO14" s="211"/>
      <c r="SP14" s="211"/>
      <c r="SQ14" s="211"/>
      <c r="SR14" s="101"/>
      <c r="SS14" s="101"/>
      <c r="ST14" s="209" t="s">
        <v>22</v>
      </c>
      <c r="SU14" s="209"/>
      <c r="SV14" s="209"/>
      <c r="SW14" s="209"/>
      <c r="SX14" s="81"/>
      <c r="SY14" s="81"/>
      <c r="SZ14" s="211" t="s">
        <v>23</v>
      </c>
      <c r="TA14" s="211"/>
      <c r="TB14" s="211"/>
      <c r="TC14" s="211"/>
      <c r="TD14" s="101"/>
      <c r="TE14" s="101"/>
      <c r="TF14" s="209" t="s">
        <v>24</v>
      </c>
      <c r="TG14" s="209"/>
      <c r="TH14" s="209"/>
      <c r="TI14" s="209"/>
      <c r="TJ14" s="81"/>
      <c r="TK14" s="81"/>
      <c r="TL14" s="211" t="s">
        <v>25</v>
      </c>
      <c r="TM14" s="211"/>
      <c r="TN14" s="211"/>
      <c r="TO14" s="211"/>
      <c r="TP14" s="101"/>
      <c r="TQ14" s="101"/>
      <c r="TR14" s="209" t="s">
        <v>26</v>
      </c>
      <c r="TS14" s="209"/>
      <c r="TT14" s="209"/>
      <c r="TU14" s="209"/>
      <c r="TV14" s="81"/>
      <c r="TW14" s="81"/>
      <c r="TX14" s="81"/>
      <c r="TY14" s="82"/>
      <c r="TZ14" s="80"/>
      <c r="UA14" s="81"/>
      <c r="UB14" s="81"/>
      <c r="UC14" s="81"/>
      <c r="UD14" s="209" t="s">
        <v>18</v>
      </c>
      <c r="UE14" s="209"/>
      <c r="UF14" s="209"/>
      <c r="UG14" s="209"/>
      <c r="UH14" s="81"/>
      <c r="UI14" s="81"/>
      <c r="UJ14" s="211" t="s">
        <v>19</v>
      </c>
      <c r="UK14" s="211"/>
      <c r="UL14" s="211"/>
      <c r="UM14" s="211"/>
      <c r="UN14" s="101"/>
      <c r="UO14" s="101"/>
      <c r="UP14" s="209" t="s">
        <v>20</v>
      </c>
      <c r="UQ14" s="209"/>
      <c r="UR14" s="209"/>
      <c r="US14" s="209"/>
      <c r="UT14" s="81"/>
      <c r="UU14" s="81"/>
      <c r="UV14" s="211" t="s">
        <v>21</v>
      </c>
      <c r="UW14" s="211"/>
      <c r="UX14" s="211"/>
      <c r="UY14" s="211"/>
      <c r="UZ14" s="101"/>
      <c r="VA14" s="101"/>
      <c r="VB14" s="209" t="s">
        <v>22</v>
      </c>
      <c r="VC14" s="209"/>
      <c r="VD14" s="209"/>
      <c r="VE14" s="209"/>
      <c r="VF14" s="81"/>
      <c r="VG14" s="81"/>
      <c r="VH14" s="211" t="s">
        <v>23</v>
      </c>
      <c r="VI14" s="211"/>
      <c r="VJ14" s="211"/>
      <c r="VK14" s="211"/>
      <c r="VL14" s="101"/>
      <c r="VM14" s="101"/>
      <c r="VN14" s="209" t="s">
        <v>24</v>
      </c>
      <c r="VO14" s="209"/>
      <c r="VP14" s="209"/>
      <c r="VQ14" s="209"/>
      <c r="VR14" s="81"/>
      <c r="VS14" s="81"/>
      <c r="VT14" s="211" t="s">
        <v>25</v>
      </c>
      <c r="VU14" s="211"/>
      <c r="VV14" s="211"/>
      <c r="VW14" s="211"/>
      <c r="VX14" s="101"/>
      <c r="VY14" s="101"/>
      <c r="VZ14" s="209" t="s">
        <v>26</v>
      </c>
      <c r="WA14" s="209"/>
      <c r="WB14" s="209"/>
      <c r="WC14" s="209"/>
      <c r="WD14" s="81"/>
      <c r="WE14" s="81"/>
      <c r="WF14" s="81"/>
      <c r="WG14" s="82"/>
      <c r="WH14" s="80"/>
      <c r="WI14" s="81"/>
      <c r="WJ14" s="81"/>
      <c r="WK14" s="81"/>
      <c r="WL14" s="209" t="s">
        <v>18</v>
      </c>
      <c r="WM14" s="209"/>
      <c r="WN14" s="209"/>
      <c r="WO14" s="209"/>
      <c r="WP14" s="81"/>
      <c r="WQ14" s="81"/>
      <c r="WR14" s="211" t="s">
        <v>19</v>
      </c>
      <c r="WS14" s="211"/>
      <c r="WT14" s="211"/>
      <c r="WU14" s="211"/>
      <c r="WV14" s="101"/>
      <c r="WW14" s="101"/>
      <c r="WX14" s="209" t="s">
        <v>20</v>
      </c>
      <c r="WY14" s="209"/>
      <c r="WZ14" s="209"/>
      <c r="XA14" s="209"/>
      <c r="XB14" s="81"/>
      <c r="XC14" s="81"/>
      <c r="XD14" s="211" t="s">
        <v>21</v>
      </c>
      <c r="XE14" s="211"/>
      <c r="XF14" s="211"/>
      <c r="XG14" s="211"/>
      <c r="XH14" s="101"/>
      <c r="XI14" s="101"/>
      <c r="XJ14" s="209" t="s">
        <v>22</v>
      </c>
      <c r="XK14" s="209"/>
      <c r="XL14" s="209"/>
      <c r="XM14" s="209"/>
      <c r="XN14" s="81"/>
      <c r="XO14" s="81"/>
      <c r="XP14" s="211" t="s">
        <v>23</v>
      </c>
      <c r="XQ14" s="211"/>
      <c r="XR14" s="211"/>
      <c r="XS14" s="211"/>
      <c r="XT14" s="101"/>
      <c r="XU14" s="101"/>
      <c r="XV14" s="209" t="s">
        <v>24</v>
      </c>
      <c r="XW14" s="209"/>
      <c r="XX14" s="209"/>
      <c r="XY14" s="209"/>
      <c r="XZ14" s="81"/>
      <c r="YA14" s="81"/>
      <c r="YB14" s="211" t="s">
        <v>25</v>
      </c>
      <c r="YC14" s="211"/>
      <c r="YD14" s="211"/>
      <c r="YE14" s="211"/>
      <c r="YF14" s="101"/>
      <c r="YG14" s="101"/>
      <c r="YH14" s="209" t="s">
        <v>26</v>
      </c>
      <c r="YI14" s="209"/>
      <c r="YJ14" s="209"/>
      <c r="YK14" s="209"/>
      <c r="YL14" s="81"/>
      <c r="YM14" s="81"/>
      <c r="YN14" s="81"/>
      <c r="YO14" s="82"/>
      <c r="YP14" s="80"/>
      <c r="YQ14" s="81"/>
      <c r="YR14" s="81"/>
      <c r="YS14" s="81"/>
      <c r="YT14" s="209" t="s">
        <v>18</v>
      </c>
      <c r="YU14" s="209"/>
      <c r="YV14" s="209"/>
      <c r="YW14" s="209"/>
      <c r="YX14" s="81"/>
      <c r="YY14" s="81"/>
      <c r="YZ14" s="211" t="s">
        <v>19</v>
      </c>
      <c r="ZA14" s="211"/>
      <c r="ZB14" s="211"/>
      <c r="ZC14" s="211"/>
      <c r="ZD14" s="101"/>
      <c r="ZE14" s="101"/>
      <c r="ZF14" s="209" t="s">
        <v>20</v>
      </c>
      <c r="ZG14" s="209"/>
      <c r="ZH14" s="209"/>
      <c r="ZI14" s="209"/>
      <c r="ZJ14" s="81"/>
      <c r="ZK14" s="81"/>
      <c r="ZL14" s="211" t="s">
        <v>21</v>
      </c>
      <c r="ZM14" s="211"/>
      <c r="ZN14" s="211"/>
      <c r="ZO14" s="211"/>
      <c r="ZP14" s="101"/>
      <c r="ZQ14" s="101"/>
      <c r="ZR14" s="209" t="s">
        <v>22</v>
      </c>
      <c r="ZS14" s="209"/>
      <c r="ZT14" s="209"/>
      <c r="ZU14" s="209"/>
      <c r="ZV14" s="81"/>
      <c r="ZW14" s="81"/>
      <c r="ZX14" s="211" t="s">
        <v>23</v>
      </c>
      <c r="ZY14" s="211"/>
      <c r="ZZ14" s="211"/>
      <c r="AAA14" s="211"/>
      <c r="AAB14" s="101"/>
      <c r="AAC14" s="101"/>
      <c r="AAD14" s="209" t="s">
        <v>24</v>
      </c>
      <c r="AAE14" s="209"/>
      <c r="AAF14" s="209"/>
      <c r="AAG14" s="209"/>
      <c r="AAH14" s="81"/>
      <c r="AAI14" s="81"/>
      <c r="AAJ14" s="211" t="s">
        <v>25</v>
      </c>
      <c r="AAK14" s="211"/>
      <c r="AAL14" s="211"/>
      <c r="AAM14" s="211"/>
      <c r="AAN14" s="101"/>
      <c r="AAO14" s="101"/>
      <c r="AAP14" s="209" t="s">
        <v>26</v>
      </c>
      <c r="AAQ14" s="209"/>
      <c r="AAR14" s="209"/>
      <c r="AAS14" s="209"/>
      <c r="AAT14" s="81"/>
      <c r="AAU14" s="81"/>
      <c r="AAV14" s="81"/>
      <c r="AAW14" s="82"/>
      <c r="AAX14" s="80"/>
      <c r="AAY14" s="81"/>
      <c r="AAZ14" s="81"/>
      <c r="ABA14" s="81"/>
      <c r="ABB14" s="209" t="s">
        <v>18</v>
      </c>
      <c r="ABC14" s="209"/>
      <c r="ABD14" s="209"/>
      <c r="ABE14" s="209"/>
      <c r="ABF14" s="81"/>
      <c r="ABG14" s="81"/>
      <c r="ABH14" s="211" t="s">
        <v>19</v>
      </c>
      <c r="ABI14" s="211"/>
      <c r="ABJ14" s="211"/>
      <c r="ABK14" s="211"/>
      <c r="ABL14" s="101"/>
      <c r="ABM14" s="101"/>
      <c r="ABN14" s="209" t="s">
        <v>20</v>
      </c>
      <c r="ABO14" s="209"/>
      <c r="ABP14" s="209"/>
      <c r="ABQ14" s="209"/>
      <c r="ABR14" s="81"/>
      <c r="ABS14" s="81"/>
      <c r="ABT14" s="211" t="s">
        <v>21</v>
      </c>
      <c r="ABU14" s="211"/>
      <c r="ABV14" s="211"/>
      <c r="ABW14" s="211"/>
      <c r="ABX14" s="101"/>
      <c r="ABY14" s="101"/>
      <c r="ABZ14" s="209" t="s">
        <v>22</v>
      </c>
      <c r="ACA14" s="209"/>
      <c r="ACB14" s="209"/>
      <c r="ACC14" s="209"/>
      <c r="ACD14" s="81"/>
      <c r="ACE14" s="81"/>
      <c r="ACF14" s="211" t="s">
        <v>23</v>
      </c>
      <c r="ACG14" s="211"/>
      <c r="ACH14" s="211"/>
      <c r="ACI14" s="211"/>
      <c r="ACJ14" s="101"/>
      <c r="ACK14" s="101"/>
      <c r="ACL14" s="209" t="s">
        <v>24</v>
      </c>
      <c r="ACM14" s="209"/>
      <c r="ACN14" s="209"/>
      <c r="ACO14" s="209"/>
      <c r="ACP14" s="81"/>
      <c r="ACQ14" s="81"/>
      <c r="ACR14" s="211" t="s">
        <v>25</v>
      </c>
      <c r="ACS14" s="211"/>
      <c r="ACT14" s="211"/>
      <c r="ACU14" s="211"/>
      <c r="ACV14" s="101"/>
      <c r="ACW14" s="101"/>
      <c r="ACX14" s="209" t="s">
        <v>26</v>
      </c>
      <c r="ACY14" s="209"/>
      <c r="ACZ14" s="209"/>
      <c r="ADA14" s="209"/>
      <c r="ADB14" s="81"/>
      <c r="ADC14" s="81"/>
      <c r="ADD14" s="81"/>
      <c r="ADE14" s="82"/>
      <c r="ADF14" s="80"/>
      <c r="ADG14" s="81"/>
      <c r="ADH14" s="81"/>
      <c r="ADI14" s="81"/>
      <c r="ADJ14" s="209" t="s">
        <v>18</v>
      </c>
      <c r="ADK14" s="209"/>
      <c r="ADL14" s="209"/>
      <c r="ADM14" s="209"/>
      <c r="ADN14" s="81"/>
      <c r="ADO14" s="81"/>
      <c r="ADP14" s="211" t="s">
        <v>19</v>
      </c>
      <c r="ADQ14" s="211"/>
      <c r="ADR14" s="211"/>
      <c r="ADS14" s="211"/>
      <c r="ADT14" s="101"/>
      <c r="ADU14" s="101"/>
      <c r="ADV14" s="209" t="s">
        <v>20</v>
      </c>
      <c r="ADW14" s="209"/>
      <c r="ADX14" s="209"/>
      <c r="ADY14" s="209"/>
      <c r="ADZ14" s="81"/>
      <c r="AEA14" s="81"/>
      <c r="AEB14" s="211" t="s">
        <v>21</v>
      </c>
      <c r="AEC14" s="211"/>
      <c r="AED14" s="211"/>
      <c r="AEE14" s="211"/>
      <c r="AEF14" s="101"/>
      <c r="AEG14" s="101"/>
      <c r="AEH14" s="209" t="s">
        <v>22</v>
      </c>
      <c r="AEI14" s="209"/>
      <c r="AEJ14" s="209"/>
      <c r="AEK14" s="209"/>
      <c r="AEL14" s="81"/>
      <c r="AEM14" s="81"/>
      <c r="AEN14" s="211" t="s">
        <v>23</v>
      </c>
      <c r="AEO14" s="211"/>
      <c r="AEP14" s="211"/>
      <c r="AEQ14" s="211"/>
      <c r="AER14" s="101"/>
      <c r="AES14" s="101"/>
      <c r="AET14" s="209" t="s">
        <v>24</v>
      </c>
      <c r="AEU14" s="209"/>
      <c r="AEV14" s="209"/>
      <c r="AEW14" s="209"/>
      <c r="AEX14" s="81"/>
      <c r="AEY14" s="81"/>
      <c r="AEZ14" s="211" t="s">
        <v>25</v>
      </c>
      <c r="AFA14" s="211"/>
      <c r="AFB14" s="211"/>
      <c r="AFC14" s="211"/>
      <c r="AFD14" s="101"/>
      <c r="AFE14" s="101"/>
      <c r="AFF14" s="209" t="s">
        <v>26</v>
      </c>
      <c r="AFG14" s="209"/>
      <c r="AFH14" s="209"/>
      <c r="AFI14" s="209"/>
      <c r="AFJ14" s="81"/>
      <c r="AFK14" s="81"/>
      <c r="AFL14" s="81"/>
      <c r="AFM14" s="82"/>
      <c r="AFN14" s="80"/>
      <c r="AFO14" s="81"/>
      <c r="AFP14" s="81"/>
      <c r="AFQ14" s="81"/>
      <c r="AFR14" s="209" t="s">
        <v>18</v>
      </c>
      <c r="AFS14" s="209"/>
      <c r="AFT14" s="209"/>
      <c r="AFU14" s="209"/>
      <c r="AFV14" s="81"/>
      <c r="AFW14" s="81"/>
      <c r="AFX14" s="211" t="s">
        <v>19</v>
      </c>
      <c r="AFY14" s="211"/>
      <c r="AFZ14" s="211"/>
      <c r="AGA14" s="211"/>
      <c r="AGB14" s="101"/>
      <c r="AGC14" s="101"/>
      <c r="AGD14" s="209" t="s">
        <v>20</v>
      </c>
      <c r="AGE14" s="209"/>
      <c r="AGF14" s="209"/>
      <c r="AGG14" s="209"/>
      <c r="AGH14" s="81"/>
      <c r="AGI14" s="81"/>
      <c r="AGJ14" s="211" t="s">
        <v>21</v>
      </c>
      <c r="AGK14" s="211"/>
      <c r="AGL14" s="211"/>
      <c r="AGM14" s="211"/>
      <c r="AGN14" s="101"/>
      <c r="AGO14" s="101"/>
      <c r="AGP14" s="209" t="s">
        <v>22</v>
      </c>
      <c r="AGQ14" s="209"/>
      <c r="AGR14" s="209"/>
      <c r="AGS14" s="209"/>
      <c r="AGT14" s="81"/>
      <c r="AGU14" s="81"/>
      <c r="AGV14" s="211" t="s">
        <v>23</v>
      </c>
      <c r="AGW14" s="211"/>
      <c r="AGX14" s="211"/>
      <c r="AGY14" s="211"/>
      <c r="AGZ14" s="101"/>
      <c r="AHA14" s="101"/>
      <c r="AHB14" s="209" t="s">
        <v>24</v>
      </c>
      <c r="AHC14" s="209"/>
      <c r="AHD14" s="209"/>
      <c r="AHE14" s="209"/>
      <c r="AHF14" s="81"/>
      <c r="AHG14" s="81"/>
      <c r="AHH14" s="211" t="s">
        <v>25</v>
      </c>
      <c r="AHI14" s="211"/>
      <c r="AHJ14" s="211"/>
      <c r="AHK14" s="211"/>
      <c r="AHL14" s="101"/>
      <c r="AHM14" s="101"/>
      <c r="AHN14" s="209" t="s">
        <v>26</v>
      </c>
      <c r="AHO14" s="209"/>
      <c r="AHP14" s="209"/>
      <c r="AHQ14" s="209"/>
      <c r="AHR14" s="81"/>
      <c r="AHS14" s="81"/>
      <c r="AHT14" s="81"/>
      <c r="AHU14" s="82"/>
      <c r="AHV14" s="80"/>
      <c r="AHW14" s="81"/>
      <c r="AHX14" s="81"/>
      <c r="AHY14" s="81"/>
      <c r="AHZ14" s="209" t="s">
        <v>18</v>
      </c>
      <c r="AIA14" s="209"/>
      <c r="AIB14" s="209"/>
      <c r="AIC14" s="209"/>
      <c r="AID14" s="81"/>
      <c r="AIE14" s="81"/>
      <c r="AIF14" s="211" t="s">
        <v>19</v>
      </c>
      <c r="AIG14" s="211"/>
      <c r="AIH14" s="211"/>
      <c r="AII14" s="211"/>
      <c r="AIJ14" s="101"/>
      <c r="AIK14" s="101"/>
      <c r="AIL14" s="209" t="s">
        <v>20</v>
      </c>
      <c r="AIM14" s="209"/>
      <c r="AIN14" s="209"/>
      <c r="AIO14" s="209"/>
      <c r="AIP14" s="81"/>
      <c r="AIQ14" s="81"/>
      <c r="AIR14" s="211" t="s">
        <v>21</v>
      </c>
      <c r="AIS14" s="211"/>
      <c r="AIT14" s="211"/>
      <c r="AIU14" s="211"/>
      <c r="AIV14" s="101"/>
      <c r="AIW14" s="101"/>
      <c r="AIX14" s="209" t="s">
        <v>22</v>
      </c>
      <c r="AIY14" s="209"/>
      <c r="AIZ14" s="209"/>
      <c r="AJA14" s="209"/>
      <c r="AJB14" s="81"/>
      <c r="AJC14" s="81"/>
      <c r="AJD14" s="211" t="s">
        <v>23</v>
      </c>
      <c r="AJE14" s="211"/>
      <c r="AJF14" s="211"/>
      <c r="AJG14" s="211"/>
      <c r="AJH14" s="101"/>
      <c r="AJI14" s="101"/>
      <c r="AJJ14" s="209" t="s">
        <v>24</v>
      </c>
      <c r="AJK14" s="209"/>
      <c r="AJL14" s="209"/>
      <c r="AJM14" s="209"/>
      <c r="AJN14" s="81"/>
      <c r="AJO14" s="81"/>
      <c r="AJP14" s="211" t="s">
        <v>25</v>
      </c>
      <c r="AJQ14" s="211"/>
      <c r="AJR14" s="211"/>
      <c r="AJS14" s="211"/>
      <c r="AJT14" s="101"/>
      <c r="AJU14" s="101"/>
      <c r="AJV14" s="209" t="s">
        <v>26</v>
      </c>
      <c r="AJW14" s="209"/>
      <c r="AJX14" s="209"/>
      <c r="AJY14" s="209"/>
      <c r="AJZ14" s="81"/>
      <c r="AKA14" s="81"/>
      <c r="AKB14" s="81"/>
      <c r="AKC14" s="82"/>
      <c r="AKD14" s="80"/>
      <c r="AKE14" s="81"/>
      <c r="AKF14" s="81"/>
      <c r="AKG14" s="81"/>
      <c r="AKH14" s="209" t="s">
        <v>18</v>
      </c>
      <c r="AKI14" s="209"/>
      <c r="AKJ14" s="209"/>
      <c r="AKK14" s="209"/>
      <c r="AKL14" s="81"/>
      <c r="AKM14" s="81"/>
      <c r="AKN14" s="211" t="s">
        <v>19</v>
      </c>
      <c r="AKO14" s="211"/>
      <c r="AKP14" s="211"/>
      <c r="AKQ14" s="211"/>
      <c r="AKR14" s="101"/>
      <c r="AKS14" s="101"/>
      <c r="AKT14" s="209" t="s">
        <v>20</v>
      </c>
      <c r="AKU14" s="209"/>
      <c r="AKV14" s="209"/>
      <c r="AKW14" s="209"/>
      <c r="AKX14" s="81"/>
      <c r="AKY14" s="81"/>
      <c r="AKZ14" s="211" t="s">
        <v>21</v>
      </c>
      <c r="ALA14" s="211"/>
      <c r="ALB14" s="211"/>
      <c r="ALC14" s="211"/>
      <c r="ALD14" s="101"/>
      <c r="ALE14" s="101"/>
      <c r="ALF14" s="209" t="s">
        <v>22</v>
      </c>
      <c r="ALG14" s="209"/>
      <c r="ALH14" s="209"/>
      <c r="ALI14" s="209"/>
      <c r="ALJ14" s="81"/>
      <c r="ALK14" s="81"/>
      <c r="ALL14" s="211" t="s">
        <v>23</v>
      </c>
      <c r="ALM14" s="211"/>
      <c r="ALN14" s="211"/>
      <c r="ALO14" s="211"/>
      <c r="ALP14" s="101"/>
      <c r="ALQ14" s="101"/>
      <c r="ALR14" s="209" t="s">
        <v>24</v>
      </c>
      <c r="ALS14" s="209"/>
      <c r="ALT14" s="209"/>
      <c r="ALU14" s="209"/>
      <c r="ALV14" s="81"/>
      <c r="ALW14" s="81"/>
      <c r="ALX14" s="211" t="s">
        <v>25</v>
      </c>
      <c r="ALY14" s="211"/>
      <c r="ALZ14" s="211"/>
      <c r="AMA14" s="211"/>
      <c r="AMB14" s="101"/>
      <c r="AMC14" s="101"/>
      <c r="AMD14" s="209" t="s">
        <v>26</v>
      </c>
      <c r="AME14" s="209"/>
      <c r="AMF14" s="209"/>
      <c r="AMG14" s="209"/>
      <c r="AMH14" s="81"/>
      <c r="AMI14" s="81"/>
      <c r="AMJ14" s="81"/>
      <c r="AMK14" s="82"/>
      <c r="AML14" s="80"/>
      <c r="AMM14" s="81"/>
      <c r="AMN14" s="81"/>
      <c r="AMO14" s="81"/>
      <c r="AMP14" s="209" t="s">
        <v>18</v>
      </c>
      <c r="AMQ14" s="209"/>
      <c r="AMR14" s="209"/>
      <c r="AMS14" s="209"/>
      <c r="AMT14" s="81"/>
      <c r="AMU14" s="81"/>
      <c r="AMV14" s="211" t="s">
        <v>19</v>
      </c>
      <c r="AMW14" s="211"/>
      <c r="AMX14" s="211"/>
      <c r="AMY14" s="211"/>
      <c r="AMZ14" s="101"/>
      <c r="ANA14" s="101"/>
      <c r="ANB14" s="209" t="s">
        <v>20</v>
      </c>
      <c r="ANC14" s="209"/>
      <c r="AND14" s="209"/>
      <c r="ANE14" s="209"/>
      <c r="ANF14" s="81"/>
      <c r="ANG14" s="81"/>
      <c r="ANH14" s="211" t="s">
        <v>21</v>
      </c>
      <c r="ANI14" s="211"/>
      <c r="ANJ14" s="211"/>
      <c r="ANK14" s="211"/>
      <c r="ANL14" s="101"/>
      <c r="ANM14" s="101"/>
      <c r="ANN14" s="209" t="s">
        <v>22</v>
      </c>
      <c r="ANO14" s="209"/>
      <c r="ANP14" s="209"/>
      <c r="ANQ14" s="209"/>
      <c r="ANR14" s="81"/>
      <c r="ANS14" s="81"/>
      <c r="ANT14" s="211" t="s">
        <v>23</v>
      </c>
      <c r="ANU14" s="211"/>
      <c r="ANV14" s="211"/>
      <c r="ANW14" s="211"/>
      <c r="ANX14" s="101"/>
      <c r="ANY14" s="101"/>
      <c r="ANZ14" s="209" t="s">
        <v>24</v>
      </c>
      <c r="AOA14" s="209"/>
      <c r="AOB14" s="209"/>
      <c r="AOC14" s="209"/>
      <c r="AOD14" s="81"/>
      <c r="AOE14" s="81"/>
      <c r="AOF14" s="211" t="s">
        <v>25</v>
      </c>
      <c r="AOG14" s="211"/>
      <c r="AOH14" s="211"/>
      <c r="AOI14" s="211"/>
      <c r="AOJ14" s="101"/>
      <c r="AOK14" s="101"/>
      <c r="AOL14" s="209" t="s">
        <v>26</v>
      </c>
      <c r="AOM14" s="209"/>
      <c r="AON14" s="209"/>
      <c r="AOO14" s="209"/>
      <c r="AOP14" s="81"/>
      <c r="AOQ14" s="81"/>
      <c r="AOR14" s="81"/>
      <c r="AOS14" s="82"/>
      <c r="AOT14" s="80"/>
      <c r="AOU14" s="81"/>
      <c r="AOV14" s="81"/>
      <c r="AOW14" s="81"/>
      <c r="AOX14" s="209" t="s">
        <v>18</v>
      </c>
      <c r="AOY14" s="209"/>
      <c r="AOZ14" s="209"/>
      <c r="APA14" s="209"/>
      <c r="APB14" s="81"/>
      <c r="APC14" s="81"/>
      <c r="APD14" s="211" t="s">
        <v>19</v>
      </c>
      <c r="APE14" s="211"/>
      <c r="APF14" s="211"/>
      <c r="APG14" s="211"/>
      <c r="APH14" s="101"/>
      <c r="API14" s="101"/>
      <c r="APJ14" s="209" t="s">
        <v>20</v>
      </c>
      <c r="APK14" s="209"/>
      <c r="APL14" s="209"/>
      <c r="APM14" s="209"/>
      <c r="APN14" s="81"/>
      <c r="APO14" s="81"/>
      <c r="APP14" s="211" t="s">
        <v>21</v>
      </c>
      <c r="APQ14" s="211"/>
      <c r="APR14" s="211"/>
      <c r="APS14" s="211"/>
      <c r="APT14" s="101"/>
      <c r="APU14" s="101"/>
      <c r="APV14" s="209" t="s">
        <v>22</v>
      </c>
      <c r="APW14" s="209"/>
      <c r="APX14" s="209"/>
      <c r="APY14" s="209"/>
      <c r="APZ14" s="81"/>
      <c r="AQA14" s="81"/>
      <c r="AQB14" s="211" t="s">
        <v>23</v>
      </c>
      <c r="AQC14" s="211"/>
      <c r="AQD14" s="211"/>
      <c r="AQE14" s="211"/>
      <c r="AQF14" s="101"/>
      <c r="AQG14" s="101"/>
      <c r="AQH14" s="209" t="s">
        <v>24</v>
      </c>
      <c r="AQI14" s="209"/>
      <c r="AQJ14" s="209"/>
      <c r="AQK14" s="209"/>
      <c r="AQL14" s="81"/>
      <c r="AQM14" s="81"/>
      <c r="AQN14" s="211" t="s">
        <v>25</v>
      </c>
      <c r="AQO14" s="211"/>
      <c r="AQP14" s="211"/>
      <c r="AQQ14" s="211"/>
      <c r="AQR14" s="101"/>
      <c r="AQS14" s="101"/>
      <c r="AQT14" s="209" t="s">
        <v>26</v>
      </c>
      <c r="AQU14" s="209"/>
      <c r="AQV14" s="209"/>
      <c r="AQW14" s="209"/>
      <c r="AQX14" s="81"/>
      <c r="AQY14" s="81"/>
      <c r="AQZ14" s="81"/>
      <c r="ARA14" s="82"/>
      <c r="ARB14" s="80"/>
      <c r="ARC14" s="81"/>
      <c r="ARD14" s="81"/>
      <c r="ARE14" s="81"/>
      <c r="ARF14" s="209" t="s">
        <v>18</v>
      </c>
      <c r="ARG14" s="209"/>
      <c r="ARH14" s="209"/>
      <c r="ARI14" s="209"/>
      <c r="ARJ14" s="81"/>
      <c r="ARK14" s="81"/>
      <c r="ARL14" s="211" t="s">
        <v>19</v>
      </c>
      <c r="ARM14" s="211"/>
      <c r="ARN14" s="211"/>
      <c r="ARO14" s="211"/>
      <c r="ARP14" s="101"/>
      <c r="ARQ14" s="101"/>
      <c r="ARR14" s="209" t="s">
        <v>20</v>
      </c>
      <c r="ARS14" s="209"/>
      <c r="ART14" s="209"/>
      <c r="ARU14" s="209"/>
      <c r="ARV14" s="81"/>
      <c r="ARW14" s="81"/>
      <c r="ARX14" s="211" t="s">
        <v>21</v>
      </c>
      <c r="ARY14" s="211"/>
      <c r="ARZ14" s="211"/>
      <c r="ASA14" s="211"/>
      <c r="ASB14" s="101"/>
      <c r="ASC14" s="101"/>
      <c r="ASD14" s="209" t="s">
        <v>22</v>
      </c>
      <c r="ASE14" s="209"/>
      <c r="ASF14" s="209"/>
      <c r="ASG14" s="209"/>
      <c r="ASH14" s="81"/>
      <c r="ASI14" s="81"/>
      <c r="ASJ14" s="211" t="s">
        <v>23</v>
      </c>
      <c r="ASK14" s="211"/>
      <c r="ASL14" s="211"/>
      <c r="ASM14" s="211"/>
      <c r="ASN14" s="101"/>
      <c r="ASO14" s="101"/>
      <c r="ASP14" s="209" t="s">
        <v>24</v>
      </c>
      <c r="ASQ14" s="209"/>
      <c r="ASR14" s="209"/>
      <c r="ASS14" s="209"/>
      <c r="AST14" s="81"/>
      <c r="ASU14" s="81"/>
      <c r="ASV14" s="211" t="s">
        <v>25</v>
      </c>
      <c r="ASW14" s="211"/>
      <c r="ASX14" s="211"/>
      <c r="ASY14" s="211"/>
      <c r="ASZ14" s="101"/>
      <c r="ATA14" s="101"/>
      <c r="ATB14" s="209" t="s">
        <v>26</v>
      </c>
      <c r="ATC14" s="209"/>
      <c r="ATD14" s="209"/>
      <c r="ATE14" s="209"/>
      <c r="ATF14" s="81"/>
      <c r="ATG14" s="81"/>
      <c r="ATH14" s="81"/>
      <c r="ATI14" s="82"/>
      <c r="ATJ14" s="80"/>
      <c r="ATK14" s="81"/>
      <c r="ATL14" s="81"/>
      <c r="ATM14" s="81"/>
      <c r="ATN14" s="209" t="s">
        <v>18</v>
      </c>
      <c r="ATO14" s="209"/>
      <c r="ATP14" s="209"/>
      <c r="ATQ14" s="209"/>
      <c r="ATR14" s="81"/>
      <c r="ATS14" s="81"/>
      <c r="ATT14" s="211" t="s">
        <v>19</v>
      </c>
      <c r="ATU14" s="211"/>
      <c r="ATV14" s="211"/>
      <c r="ATW14" s="211"/>
      <c r="ATX14" s="101"/>
      <c r="ATY14" s="101"/>
      <c r="ATZ14" s="209" t="s">
        <v>20</v>
      </c>
      <c r="AUA14" s="209"/>
      <c r="AUB14" s="209"/>
      <c r="AUC14" s="209"/>
      <c r="AUD14" s="81"/>
      <c r="AUE14" s="81"/>
      <c r="AUF14" s="211" t="s">
        <v>21</v>
      </c>
      <c r="AUG14" s="211"/>
      <c r="AUH14" s="211"/>
      <c r="AUI14" s="211"/>
      <c r="AUJ14" s="101"/>
      <c r="AUK14" s="101"/>
      <c r="AUL14" s="209" t="s">
        <v>22</v>
      </c>
      <c r="AUM14" s="209"/>
      <c r="AUN14" s="209"/>
      <c r="AUO14" s="209"/>
      <c r="AUP14" s="81"/>
      <c r="AUQ14" s="81"/>
      <c r="AUR14" s="211" t="s">
        <v>23</v>
      </c>
      <c r="AUS14" s="211"/>
      <c r="AUT14" s="211"/>
      <c r="AUU14" s="211"/>
      <c r="AUV14" s="101"/>
      <c r="AUW14" s="101"/>
      <c r="AUX14" s="209" t="s">
        <v>24</v>
      </c>
      <c r="AUY14" s="209"/>
      <c r="AUZ14" s="209"/>
      <c r="AVA14" s="209"/>
      <c r="AVB14" s="81"/>
      <c r="AVC14" s="81"/>
      <c r="AVD14" s="211" t="s">
        <v>25</v>
      </c>
      <c r="AVE14" s="211"/>
      <c r="AVF14" s="211"/>
      <c r="AVG14" s="211"/>
      <c r="AVH14" s="101"/>
      <c r="AVI14" s="101"/>
      <c r="AVJ14" s="209" t="s">
        <v>26</v>
      </c>
      <c r="AVK14" s="209"/>
      <c r="AVL14" s="209"/>
      <c r="AVM14" s="209"/>
      <c r="AVN14" s="81"/>
      <c r="AVO14" s="81"/>
      <c r="AVP14" s="81"/>
      <c r="AVQ14" s="82"/>
      <c r="AVR14" s="80"/>
      <c r="AVS14" s="81"/>
      <c r="AVT14" s="81"/>
      <c r="AVU14" s="81"/>
      <c r="AVV14" s="209" t="s">
        <v>18</v>
      </c>
      <c r="AVW14" s="209"/>
      <c r="AVX14" s="209"/>
      <c r="AVY14" s="209"/>
      <c r="AVZ14" s="81"/>
      <c r="AWA14" s="81"/>
      <c r="AWB14" s="211" t="s">
        <v>19</v>
      </c>
      <c r="AWC14" s="211"/>
      <c r="AWD14" s="211"/>
      <c r="AWE14" s="211"/>
      <c r="AWF14" s="101"/>
      <c r="AWG14" s="101"/>
      <c r="AWH14" s="209" t="s">
        <v>20</v>
      </c>
      <c r="AWI14" s="209"/>
      <c r="AWJ14" s="209"/>
      <c r="AWK14" s="209"/>
      <c r="AWL14" s="81"/>
      <c r="AWM14" s="81"/>
      <c r="AWN14" s="211" t="s">
        <v>21</v>
      </c>
      <c r="AWO14" s="211"/>
      <c r="AWP14" s="211"/>
      <c r="AWQ14" s="211"/>
      <c r="AWR14" s="101"/>
      <c r="AWS14" s="101"/>
      <c r="AWT14" s="209" t="s">
        <v>22</v>
      </c>
      <c r="AWU14" s="209"/>
      <c r="AWV14" s="209"/>
      <c r="AWW14" s="209"/>
      <c r="AWX14" s="81"/>
      <c r="AWY14" s="81"/>
      <c r="AWZ14" s="211" t="s">
        <v>23</v>
      </c>
      <c r="AXA14" s="211"/>
      <c r="AXB14" s="211"/>
      <c r="AXC14" s="211"/>
      <c r="AXD14" s="101"/>
      <c r="AXE14" s="101"/>
      <c r="AXF14" s="209" t="s">
        <v>24</v>
      </c>
      <c r="AXG14" s="209"/>
      <c r="AXH14" s="209"/>
      <c r="AXI14" s="209"/>
      <c r="AXJ14" s="81"/>
      <c r="AXK14" s="81"/>
      <c r="AXL14" s="211" t="s">
        <v>25</v>
      </c>
      <c r="AXM14" s="211"/>
      <c r="AXN14" s="211"/>
      <c r="AXO14" s="211"/>
      <c r="AXP14" s="101"/>
      <c r="AXQ14" s="101"/>
      <c r="AXR14" s="209" t="s">
        <v>26</v>
      </c>
      <c r="AXS14" s="209"/>
      <c r="AXT14" s="209"/>
      <c r="AXU14" s="209"/>
      <c r="AXV14" s="81"/>
      <c r="AXW14" s="81"/>
      <c r="AXX14" s="81"/>
      <c r="AXY14" s="82"/>
      <c r="AXZ14" s="80"/>
      <c r="AYA14" s="81"/>
      <c r="AYB14" s="81"/>
      <c r="AYC14" s="81"/>
      <c r="AYD14" s="209" t="s">
        <v>18</v>
      </c>
      <c r="AYE14" s="209"/>
      <c r="AYF14" s="209"/>
      <c r="AYG14" s="209"/>
      <c r="AYH14" s="81"/>
      <c r="AYI14" s="81"/>
      <c r="AYJ14" s="211" t="s">
        <v>19</v>
      </c>
      <c r="AYK14" s="211"/>
      <c r="AYL14" s="211"/>
      <c r="AYM14" s="211"/>
      <c r="AYN14" s="101"/>
      <c r="AYO14" s="101"/>
      <c r="AYP14" s="209" t="s">
        <v>20</v>
      </c>
      <c r="AYQ14" s="209"/>
      <c r="AYR14" s="209"/>
      <c r="AYS14" s="209"/>
      <c r="AYT14" s="81"/>
      <c r="AYU14" s="81"/>
      <c r="AYV14" s="211" t="s">
        <v>21</v>
      </c>
      <c r="AYW14" s="211"/>
      <c r="AYX14" s="211"/>
      <c r="AYY14" s="211"/>
      <c r="AYZ14" s="101"/>
      <c r="AZA14" s="101"/>
      <c r="AZB14" s="209" t="s">
        <v>22</v>
      </c>
      <c r="AZC14" s="209"/>
      <c r="AZD14" s="209"/>
      <c r="AZE14" s="209"/>
      <c r="AZF14" s="81"/>
      <c r="AZG14" s="81"/>
      <c r="AZH14" s="211" t="s">
        <v>23</v>
      </c>
      <c r="AZI14" s="211"/>
      <c r="AZJ14" s="211"/>
      <c r="AZK14" s="211"/>
      <c r="AZL14" s="101"/>
      <c r="AZM14" s="101"/>
      <c r="AZN14" s="209" t="s">
        <v>24</v>
      </c>
      <c r="AZO14" s="209"/>
      <c r="AZP14" s="209"/>
      <c r="AZQ14" s="209"/>
      <c r="AZR14" s="81"/>
      <c r="AZS14" s="81"/>
      <c r="AZT14" s="211" t="s">
        <v>25</v>
      </c>
      <c r="AZU14" s="211"/>
      <c r="AZV14" s="211"/>
      <c r="AZW14" s="211"/>
      <c r="AZX14" s="101"/>
      <c r="AZY14" s="101"/>
      <c r="AZZ14" s="209" t="s">
        <v>26</v>
      </c>
      <c r="BAA14" s="209"/>
      <c r="BAB14" s="209"/>
      <c r="BAC14" s="209"/>
      <c r="BAD14" s="81"/>
      <c r="BAE14" s="81"/>
      <c r="BAF14" s="81"/>
      <c r="BAG14" s="82"/>
      <c r="BAH14" s="80"/>
      <c r="BAI14" s="81"/>
      <c r="BAJ14" s="81"/>
      <c r="BAK14" s="81"/>
      <c r="BAL14" s="209" t="s">
        <v>18</v>
      </c>
      <c r="BAM14" s="209"/>
      <c r="BAN14" s="209"/>
      <c r="BAO14" s="209"/>
      <c r="BAP14" s="81"/>
      <c r="BAQ14" s="81"/>
      <c r="BAR14" s="211" t="s">
        <v>19</v>
      </c>
      <c r="BAS14" s="211"/>
      <c r="BAT14" s="211"/>
      <c r="BAU14" s="211"/>
      <c r="BAV14" s="101"/>
      <c r="BAW14" s="101"/>
      <c r="BAX14" s="209" t="s">
        <v>20</v>
      </c>
      <c r="BAY14" s="209"/>
      <c r="BAZ14" s="209"/>
      <c r="BBA14" s="209"/>
      <c r="BBB14" s="81"/>
      <c r="BBC14" s="81"/>
      <c r="BBD14" s="211" t="s">
        <v>21</v>
      </c>
      <c r="BBE14" s="211"/>
      <c r="BBF14" s="211"/>
      <c r="BBG14" s="211"/>
      <c r="BBH14" s="101"/>
      <c r="BBI14" s="101"/>
      <c r="BBJ14" s="209" t="s">
        <v>22</v>
      </c>
      <c r="BBK14" s="209"/>
      <c r="BBL14" s="209"/>
      <c r="BBM14" s="209"/>
      <c r="BBN14" s="81"/>
      <c r="BBO14" s="81"/>
      <c r="BBP14" s="211" t="s">
        <v>23</v>
      </c>
      <c r="BBQ14" s="211"/>
      <c r="BBR14" s="211"/>
      <c r="BBS14" s="211"/>
      <c r="BBT14" s="101"/>
      <c r="BBU14" s="101"/>
      <c r="BBV14" s="209" t="s">
        <v>24</v>
      </c>
      <c r="BBW14" s="209"/>
      <c r="BBX14" s="209"/>
      <c r="BBY14" s="209"/>
      <c r="BBZ14" s="81"/>
      <c r="BCA14" s="81"/>
      <c r="BCB14" s="211" t="s">
        <v>25</v>
      </c>
      <c r="BCC14" s="211"/>
      <c r="BCD14" s="211"/>
      <c r="BCE14" s="211"/>
      <c r="BCF14" s="101"/>
      <c r="BCG14" s="101"/>
      <c r="BCH14" s="209" t="s">
        <v>26</v>
      </c>
      <c r="BCI14" s="209"/>
      <c r="BCJ14" s="209"/>
      <c r="BCK14" s="209"/>
      <c r="BCL14" s="81"/>
      <c r="BCM14" s="81"/>
      <c r="BCN14" s="81"/>
      <c r="BCO14" s="82"/>
      <c r="BCP14" s="80"/>
      <c r="BCQ14" s="81"/>
      <c r="BCR14" s="81"/>
      <c r="BCS14" s="81"/>
      <c r="BCT14" s="209" t="s">
        <v>18</v>
      </c>
      <c r="BCU14" s="209"/>
      <c r="BCV14" s="209"/>
      <c r="BCW14" s="209"/>
      <c r="BCX14" s="81"/>
      <c r="BCY14" s="81"/>
      <c r="BCZ14" s="211" t="s">
        <v>19</v>
      </c>
      <c r="BDA14" s="211"/>
      <c r="BDB14" s="211"/>
      <c r="BDC14" s="211"/>
      <c r="BDD14" s="101"/>
      <c r="BDE14" s="101"/>
      <c r="BDF14" s="209" t="s">
        <v>20</v>
      </c>
      <c r="BDG14" s="209"/>
      <c r="BDH14" s="209"/>
      <c r="BDI14" s="209"/>
      <c r="BDJ14" s="81"/>
      <c r="BDK14" s="81"/>
      <c r="BDL14" s="211" t="s">
        <v>21</v>
      </c>
      <c r="BDM14" s="211"/>
      <c r="BDN14" s="211"/>
      <c r="BDO14" s="211"/>
      <c r="BDP14" s="101"/>
      <c r="BDQ14" s="101"/>
      <c r="BDR14" s="209" t="s">
        <v>22</v>
      </c>
      <c r="BDS14" s="209"/>
      <c r="BDT14" s="209"/>
      <c r="BDU14" s="209"/>
      <c r="BDV14" s="81"/>
      <c r="BDW14" s="81"/>
      <c r="BDX14" s="211" t="s">
        <v>23</v>
      </c>
      <c r="BDY14" s="211"/>
      <c r="BDZ14" s="211"/>
      <c r="BEA14" s="211"/>
      <c r="BEB14" s="101"/>
      <c r="BEC14" s="101"/>
      <c r="BED14" s="209" t="s">
        <v>24</v>
      </c>
      <c r="BEE14" s="209"/>
      <c r="BEF14" s="209"/>
      <c r="BEG14" s="209"/>
      <c r="BEH14" s="81"/>
      <c r="BEI14" s="81"/>
      <c r="BEJ14" s="211" t="s">
        <v>25</v>
      </c>
      <c r="BEK14" s="211"/>
      <c r="BEL14" s="211"/>
      <c r="BEM14" s="211"/>
      <c r="BEN14" s="101"/>
      <c r="BEO14" s="101"/>
      <c r="BEP14" s="209" t="s">
        <v>26</v>
      </c>
      <c r="BEQ14" s="209"/>
      <c r="BER14" s="209"/>
      <c r="BES14" s="209"/>
      <c r="BET14" s="81"/>
      <c r="BEU14" s="81"/>
      <c r="BEV14" s="81"/>
      <c r="BEW14" s="82"/>
      <c r="BEX14" s="80"/>
      <c r="BEY14" s="81"/>
      <c r="BEZ14" s="81"/>
      <c r="BFA14" s="81"/>
      <c r="BFB14" s="209" t="s">
        <v>18</v>
      </c>
      <c r="BFC14" s="209"/>
      <c r="BFD14" s="209"/>
      <c r="BFE14" s="209"/>
      <c r="BFF14" s="81"/>
      <c r="BFG14" s="81"/>
      <c r="BFH14" s="211" t="s">
        <v>19</v>
      </c>
      <c r="BFI14" s="211"/>
      <c r="BFJ14" s="211"/>
      <c r="BFK14" s="211"/>
      <c r="BFL14" s="101"/>
      <c r="BFM14" s="101"/>
      <c r="BFN14" s="209" t="s">
        <v>20</v>
      </c>
      <c r="BFO14" s="209"/>
      <c r="BFP14" s="209"/>
      <c r="BFQ14" s="209"/>
      <c r="BFR14" s="81"/>
      <c r="BFS14" s="81"/>
      <c r="BFT14" s="211" t="s">
        <v>21</v>
      </c>
      <c r="BFU14" s="211"/>
      <c r="BFV14" s="211"/>
      <c r="BFW14" s="211"/>
      <c r="BFX14" s="101"/>
      <c r="BFY14" s="101"/>
      <c r="BFZ14" s="209" t="s">
        <v>22</v>
      </c>
      <c r="BGA14" s="209"/>
      <c r="BGB14" s="209"/>
      <c r="BGC14" s="209"/>
      <c r="BGD14" s="81"/>
      <c r="BGE14" s="81"/>
      <c r="BGF14" s="211" t="s">
        <v>23</v>
      </c>
      <c r="BGG14" s="211"/>
      <c r="BGH14" s="211"/>
      <c r="BGI14" s="211"/>
      <c r="BGJ14" s="101"/>
      <c r="BGK14" s="101"/>
      <c r="BGL14" s="209" t="s">
        <v>24</v>
      </c>
      <c r="BGM14" s="209"/>
      <c r="BGN14" s="209"/>
      <c r="BGO14" s="209"/>
      <c r="BGP14" s="81"/>
      <c r="BGQ14" s="81"/>
      <c r="BGR14" s="211" t="s">
        <v>25</v>
      </c>
      <c r="BGS14" s="211"/>
      <c r="BGT14" s="211"/>
      <c r="BGU14" s="211"/>
      <c r="BGV14" s="101"/>
      <c r="BGW14" s="101"/>
      <c r="BGX14" s="209" t="s">
        <v>26</v>
      </c>
      <c r="BGY14" s="209"/>
      <c r="BGZ14" s="209"/>
      <c r="BHA14" s="209"/>
      <c r="BHB14" s="81"/>
      <c r="BHC14" s="81"/>
      <c r="BHD14" s="81"/>
      <c r="BHE14" s="82"/>
      <c r="BHF14" s="80"/>
      <c r="BHG14" s="81"/>
      <c r="BHH14" s="81"/>
      <c r="BHI14" s="81"/>
      <c r="BHJ14" s="209" t="s">
        <v>18</v>
      </c>
      <c r="BHK14" s="209"/>
      <c r="BHL14" s="209"/>
      <c r="BHM14" s="209"/>
      <c r="BHN14" s="81"/>
      <c r="BHO14" s="81"/>
      <c r="BHP14" s="211" t="s">
        <v>19</v>
      </c>
      <c r="BHQ14" s="211"/>
      <c r="BHR14" s="211"/>
      <c r="BHS14" s="211"/>
      <c r="BHT14" s="101"/>
      <c r="BHU14" s="101"/>
      <c r="BHV14" s="209" t="s">
        <v>20</v>
      </c>
      <c r="BHW14" s="209"/>
      <c r="BHX14" s="209"/>
      <c r="BHY14" s="209"/>
      <c r="BHZ14" s="81"/>
      <c r="BIA14" s="81"/>
      <c r="BIB14" s="211" t="s">
        <v>21</v>
      </c>
      <c r="BIC14" s="211"/>
      <c r="BID14" s="211"/>
      <c r="BIE14" s="211"/>
      <c r="BIF14" s="101"/>
      <c r="BIG14" s="101"/>
      <c r="BIH14" s="209" t="s">
        <v>22</v>
      </c>
      <c r="BII14" s="209"/>
      <c r="BIJ14" s="209"/>
      <c r="BIK14" s="209"/>
      <c r="BIL14" s="81"/>
      <c r="BIM14" s="81"/>
      <c r="BIN14" s="211" t="s">
        <v>23</v>
      </c>
      <c r="BIO14" s="211"/>
      <c r="BIP14" s="211"/>
      <c r="BIQ14" s="211"/>
      <c r="BIR14" s="101"/>
      <c r="BIS14" s="101"/>
      <c r="BIT14" s="209" t="s">
        <v>24</v>
      </c>
      <c r="BIU14" s="209"/>
      <c r="BIV14" s="209"/>
      <c r="BIW14" s="209"/>
      <c r="BIX14" s="81"/>
      <c r="BIY14" s="81"/>
      <c r="BIZ14" s="211" t="s">
        <v>25</v>
      </c>
      <c r="BJA14" s="211"/>
      <c r="BJB14" s="211"/>
      <c r="BJC14" s="211"/>
      <c r="BJD14" s="101"/>
      <c r="BJE14" s="101"/>
      <c r="BJF14" s="209" t="s">
        <v>26</v>
      </c>
      <c r="BJG14" s="209"/>
      <c r="BJH14" s="209"/>
      <c r="BJI14" s="209"/>
      <c r="BJJ14" s="81"/>
      <c r="BJK14" s="81"/>
      <c r="BJL14" s="81"/>
      <c r="BJM14" s="82"/>
      <c r="BJN14" s="80"/>
      <c r="BJO14" s="81"/>
      <c r="BJP14" s="81"/>
      <c r="BJQ14" s="81"/>
      <c r="BJR14" s="209" t="s">
        <v>18</v>
      </c>
      <c r="BJS14" s="209"/>
      <c r="BJT14" s="209"/>
      <c r="BJU14" s="209"/>
      <c r="BJV14" s="81"/>
      <c r="BJW14" s="81"/>
      <c r="BJX14" s="211" t="s">
        <v>19</v>
      </c>
      <c r="BJY14" s="211"/>
      <c r="BJZ14" s="211"/>
      <c r="BKA14" s="211"/>
      <c r="BKB14" s="101"/>
      <c r="BKC14" s="101"/>
      <c r="BKD14" s="209" t="s">
        <v>20</v>
      </c>
      <c r="BKE14" s="209"/>
      <c r="BKF14" s="209"/>
      <c r="BKG14" s="209"/>
      <c r="BKH14" s="81"/>
      <c r="BKI14" s="81"/>
      <c r="BKJ14" s="211" t="s">
        <v>21</v>
      </c>
      <c r="BKK14" s="211"/>
      <c r="BKL14" s="211"/>
      <c r="BKM14" s="211"/>
      <c r="BKN14" s="101"/>
      <c r="BKO14" s="101"/>
      <c r="BKP14" s="209" t="s">
        <v>22</v>
      </c>
      <c r="BKQ14" s="209"/>
      <c r="BKR14" s="209"/>
      <c r="BKS14" s="209"/>
      <c r="BKT14" s="81"/>
      <c r="BKU14" s="81"/>
      <c r="BKV14" s="211" t="s">
        <v>23</v>
      </c>
      <c r="BKW14" s="211"/>
      <c r="BKX14" s="211"/>
      <c r="BKY14" s="211"/>
      <c r="BKZ14" s="101"/>
      <c r="BLA14" s="101"/>
      <c r="BLB14" s="209" t="s">
        <v>24</v>
      </c>
      <c r="BLC14" s="209"/>
      <c r="BLD14" s="209"/>
      <c r="BLE14" s="209"/>
      <c r="BLF14" s="81"/>
      <c r="BLG14" s="81"/>
      <c r="BLH14" s="211" t="s">
        <v>25</v>
      </c>
      <c r="BLI14" s="211"/>
      <c r="BLJ14" s="211"/>
      <c r="BLK14" s="211"/>
      <c r="BLL14" s="101"/>
      <c r="BLM14" s="101"/>
      <c r="BLN14" s="209" t="s">
        <v>26</v>
      </c>
      <c r="BLO14" s="209"/>
      <c r="BLP14" s="209"/>
      <c r="BLQ14" s="209"/>
      <c r="BLR14" s="81"/>
      <c r="BLS14" s="81"/>
      <c r="BLT14" s="81"/>
      <c r="BLU14" s="82"/>
      <c r="BLV14" s="73"/>
    </row>
    <row r="15" spans="1:1686" ht="20.100000000000001" customHeight="1" x14ac:dyDescent="0.25">
      <c r="A15" s="78" t="s">
        <v>27</v>
      </c>
      <c r="B15" s="51" t="str">
        <f>IF(LEN(C15)=0,"",C15)</f>
        <v xml:space="preserve">Absences - imprévus </v>
      </c>
      <c r="C15" s="220"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08"/>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06"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08"/>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06"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08"/>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06"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08"/>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06"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08"/>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06"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07"/>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06"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08"/>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06"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08"/>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06"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08"/>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06"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07"/>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06"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08"/>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06"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08"/>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06"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07"/>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06"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07"/>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06"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07"/>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06"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08"/>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06"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07"/>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06"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08"/>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06"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07"/>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06"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08"/>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06"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08"/>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06"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07"/>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33" t="s">
        <v>35</v>
      </c>
      <c r="D59" s="23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35"/>
      <c r="D60" s="23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29" t="s">
        <v>36</v>
      </c>
      <c r="D61" s="230"/>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31"/>
      <c r="D62" s="232"/>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3" t="s">
        <v>42</v>
      </c>
      <c r="G3" s="244"/>
      <c r="H3" s="150"/>
    </row>
    <row r="4" spans="1:8" s="43" customFormat="1" x14ac:dyDescent="0.3">
      <c r="B4" s="40" t="s">
        <v>32</v>
      </c>
      <c r="C4" s="41">
        <v>21</v>
      </c>
      <c r="D4" s="124" t="str">
        <f xml:space="preserve"> IF(C4="","",setValueToTime(C4))</f>
        <v>1h 45 min</v>
      </c>
      <c r="E4" s="182" t="s">
        <v>98</v>
      </c>
      <c r="F4" s="245"/>
      <c r="G4" s="246"/>
      <c r="H4" s="151"/>
    </row>
    <row r="5" spans="1:8" s="43" customFormat="1" ht="15" thickBot="1" x14ac:dyDescent="0.35">
      <c r="B5" s="44" t="s">
        <v>31</v>
      </c>
      <c r="C5" s="47">
        <v>3</v>
      </c>
      <c r="D5" s="127" t="str">
        <f t="shared" ref="D5" si="0" xml:space="preserve"> IF(C5="","",setValueToTime(C5))</f>
        <v xml:space="preserve"> 15 min</v>
      </c>
      <c r="E5" s="185" t="s">
        <v>79</v>
      </c>
      <c r="F5" s="239"/>
      <c r="G5" s="240"/>
      <c r="H5" s="151"/>
    </row>
    <row r="6" spans="1:8" s="43" customFormat="1" ht="15" thickBot="1" x14ac:dyDescent="0.35">
      <c r="B6" s="85" t="s">
        <v>44</v>
      </c>
      <c r="C6" s="67">
        <f>SUM(C4:C5)</f>
        <v>24</v>
      </c>
      <c r="D6" s="85" t="str">
        <f xml:space="preserve"> setValueToTime(C6)</f>
        <v>2h</v>
      </c>
      <c r="E6" s="94"/>
      <c r="F6" s="241"/>
      <c r="G6" s="242"/>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3" t="s">
        <v>42</v>
      </c>
      <c r="G9" s="244"/>
      <c r="H9" s="150"/>
    </row>
    <row r="10" spans="1:8" s="43" customFormat="1" ht="27" x14ac:dyDescent="0.3">
      <c r="B10" s="40" t="s">
        <v>72</v>
      </c>
      <c r="C10" s="41">
        <v>12</v>
      </c>
      <c r="D10" s="124" t="str">
        <f xml:space="preserve"> IF(C10="","",setValueToTime(C10))</f>
        <v>1h</v>
      </c>
      <c r="E10" s="182" t="s">
        <v>101</v>
      </c>
      <c r="F10" s="245"/>
      <c r="G10" s="246"/>
      <c r="H10" s="151"/>
    </row>
    <row r="11" spans="1:8" s="43" customFormat="1" x14ac:dyDescent="0.3">
      <c r="B11" s="44" t="s">
        <v>32</v>
      </c>
      <c r="C11" s="45">
        <v>23</v>
      </c>
      <c r="D11" s="125" t="str">
        <f t="shared" ref="D11:D12" si="1" xml:space="preserve"> IF(C11="","",setValueToTime(C11))</f>
        <v>1h 55 min</v>
      </c>
      <c r="E11" s="183" t="s">
        <v>96</v>
      </c>
      <c r="F11" s="247"/>
      <c r="G11" s="248"/>
      <c r="H11" s="151"/>
    </row>
    <row r="12" spans="1:8" s="43" customFormat="1" ht="15" thickBot="1" x14ac:dyDescent="0.35">
      <c r="B12" s="44" t="s">
        <v>31</v>
      </c>
      <c r="C12" s="47">
        <v>3</v>
      </c>
      <c r="D12" s="127" t="str">
        <f t="shared" si="1"/>
        <v xml:space="preserve"> 15 min</v>
      </c>
      <c r="E12" s="185" t="s">
        <v>79</v>
      </c>
      <c r="F12" s="239"/>
      <c r="G12" s="240"/>
      <c r="H12" s="151"/>
    </row>
    <row r="13" spans="1:8" s="43" customFormat="1" ht="15" thickBot="1" x14ac:dyDescent="0.35">
      <c r="B13" s="85" t="s">
        <v>44</v>
      </c>
      <c r="C13" s="67">
        <f>SUM(C10:C12)</f>
        <v>38</v>
      </c>
      <c r="D13" s="85" t="str">
        <f xml:space="preserve"> setValueToTime(C13)</f>
        <v>3h 10 min</v>
      </c>
      <c r="E13" s="94"/>
      <c r="F13" s="241"/>
      <c r="G13" s="242"/>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3" t="s">
        <v>42</v>
      </c>
      <c r="G16" s="244"/>
      <c r="H16" s="150"/>
    </row>
    <row r="17" spans="2:8" s="43" customFormat="1" x14ac:dyDescent="0.3">
      <c r="B17" s="40" t="s">
        <v>32</v>
      </c>
      <c r="C17" s="41">
        <v>35</v>
      </c>
      <c r="D17" s="124" t="str">
        <f xml:space="preserve"> IF(C17="","",setValueToTime(C17))</f>
        <v>2h 55 min</v>
      </c>
      <c r="E17" s="182" t="s">
        <v>96</v>
      </c>
      <c r="F17" s="245"/>
      <c r="G17" s="246"/>
      <c r="H17" s="151"/>
    </row>
    <row r="18" spans="2:8" s="43" customFormat="1" ht="15" thickBot="1" x14ac:dyDescent="0.35">
      <c r="B18" s="44" t="s">
        <v>31</v>
      </c>
      <c r="C18" s="47">
        <v>3</v>
      </c>
      <c r="D18" s="127" t="str">
        <f t="shared" ref="D18" si="2" xml:space="preserve"> IF(C18="","",setValueToTime(C18))</f>
        <v xml:space="preserve"> 15 min</v>
      </c>
      <c r="E18" s="185" t="s">
        <v>79</v>
      </c>
      <c r="F18" s="239"/>
      <c r="G18" s="240"/>
      <c r="H18" s="151"/>
    </row>
    <row r="19" spans="2:8" s="43" customFormat="1" ht="15" thickBot="1" x14ac:dyDescent="0.35">
      <c r="B19" s="85" t="s">
        <v>44</v>
      </c>
      <c r="C19" s="67">
        <f>SUM(C17:C18)</f>
        <v>38</v>
      </c>
      <c r="D19" s="85" t="str">
        <f xml:space="preserve"> setValueToTime(C19)</f>
        <v>3h 10 min</v>
      </c>
      <c r="E19" s="94"/>
      <c r="F19" s="241"/>
      <c r="G19" s="242"/>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3" t="s">
        <v>42</v>
      </c>
      <c r="G22" s="244"/>
      <c r="H22" s="150"/>
    </row>
    <row r="23" spans="2:8" s="43" customFormat="1" x14ac:dyDescent="0.3">
      <c r="B23" s="40" t="s">
        <v>32</v>
      </c>
      <c r="C23" s="41">
        <v>35</v>
      </c>
      <c r="D23" s="124" t="str">
        <f xml:space="preserve"> IF(C23="","",setValueToTime(C23))</f>
        <v>2h 55 min</v>
      </c>
      <c r="E23" s="182" t="s">
        <v>96</v>
      </c>
      <c r="F23" s="245"/>
      <c r="G23" s="246"/>
      <c r="H23" s="151"/>
    </row>
    <row r="24" spans="2:8" s="43" customFormat="1" ht="15" thickBot="1" x14ac:dyDescent="0.35">
      <c r="B24" s="44" t="s">
        <v>31</v>
      </c>
      <c r="C24" s="47">
        <v>3</v>
      </c>
      <c r="D24" s="127" t="str">
        <f t="shared" ref="D24" si="3" xml:space="preserve"> IF(C24="","",setValueToTime(C24))</f>
        <v xml:space="preserve"> 15 min</v>
      </c>
      <c r="E24" s="185" t="s">
        <v>79</v>
      </c>
      <c r="F24" s="239"/>
      <c r="G24" s="240"/>
      <c r="H24" s="151"/>
    </row>
    <row r="25" spans="2:8" s="43" customFormat="1" ht="15" thickBot="1" x14ac:dyDescent="0.35">
      <c r="B25" s="85" t="s">
        <v>44</v>
      </c>
      <c r="C25" s="67">
        <f>SUM(C23:C24)</f>
        <v>38</v>
      </c>
      <c r="D25" s="85" t="str">
        <f xml:space="preserve"> setValueToTime(C25)</f>
        <v>3h 10 min</v>
      </c>
      <c r="E25" s="94"/>
      <c r="F25" s="241"/>
      <c r="G25" s="242"/>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3" t="s">
        <v>42</v>
      </c>
      <c r="G28" s="244"/>
      <c r="H28" s="150"/>
    </row>
    <row r="29" spans="2:8" s="43" customFormat="1" ht="27" x14ac:dyDescent="0.3">
      <c r="B29" s="40" t="s">
        <v>72</v>
      </c>
      <c r="C29" s="41">
        <v>23</v>
      </c>
      <c r="D29" s="124" t="str">
        <f xml:space="preserve"> IF(C29="","",setValueToTime(C29))</f>
        <v>1h 55 min</v>
      </c>
      <c r="E29" s="182" t="s">
        <v>101</v>
      </c>
      <c r="F29" s="245"/>
      <c r="G29" s="246"/>
      <c r="H29" s="151"/>
    </row>
    <row r="30" spans="2:8" s="43" customFormat="1" ht="15" thickBot="1" x14ac:dyDescent="0.35">
      <c r="B30" s="44" t="s">
        <v>31</v>
      </c>
      <c r="C30" s="47">
        <v>3</v>
      </c>
      <c r="D30" s="127" t="str">
        <f t="shared" ref="D30" si="4" xml:space="preserve"> IF(C30="","",setValueToTime(C30))</f>
        <v xml:space="preserve"> 15 min</v>
      </c>
      <c r="E30" s="185" t="s">
        <v>79</v>
      </c>
      <c r="F30" s="239"/>
      <c r="G30" s="240"/>
      <c r="H30" s="151"/>
    </row>
    <row r="31" spans="2:8" s="43" customFormat="1" ht="15" thickBot="1" x14ac:dyDescent="0.35">
      <c r="B31" s="85" t="s">
        <v>44</v>
      </c>
      <c r="C31" s="67">
        <f>SUM(C29:C30)</f>
        <v>26</v>
      </c>
      <c r="D31" s="85" t="str">
        <f xml:space="preserve"> setValueToTime(C31)</f>
        <v>2h 10 min</v>
      </c>
      <c r="E31" s="94"/>
      <c r="F31" s="241"/>
      <c r="G31" s="242"/>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3" t="s">
        <v>42</v>
      </c>
      <c r="G34" s="244"/>
      <c r="H34" s="150"/>
    </row>
    <row r="35" spans="2:8" s="43" customFormat="1" ht="27" x14ac:dyDescent="0.3">
      <c r="B35" s="40" t="s">
        <v>72</v>
      </c>
      <c r="C35" s="41">
        <v>35</v>
      </c>
      <c r="D35" s="124" t="str">
        <f xml:space="preserve"> IF(C35="","",setValueToTime(C35))</f>
        <v>2h 55 min</v>
      </c>
      <c r="E35" s="182" t="s">
        <v>101</v>
      </c>
      <c r="F35" s="245"/>
      <c r="G35" s="246"/>
      <c r="H35" s="151"/>
    </row>
    <row r="36" spans="2:8" s="43" customFormat="1" ht="15" thickBot="1" x14ac:dyDescent="0.35">
      <c r="B36" s="44" t="s">
        <v>31</v>
      </c>
      <c r="C36" s="47">
        <v>3</v>
      </c>
      <c r="D36" s="127" t="str">
        <f t="shared" ref="D36" si="5" xml:space="preserve"> IF(C36="","",setValueToTime(C36))</f>
        <v xml:space="preserve"> 15 min</v>
      </c>
      <c r="E36" s="185" t="s">
        <v>79</v>
      </c>
      <c r="F36" s="239"/>
      <c r="G36" s="240"/>
      <c r="H36" s="151"/>
    </row>
    <row r="37" spans="2:8" s="43" customFormat="1" ht="15" thickBot="1" x14ac:dyDescent="0.35">
      <c r="B37" s="85" t="s">
        <v>44</v>
      </c>
      <c r="C37" s="67">
        <f>SUM(C35:C36)</f>
        <v>38</v>
      </c>
      <c r="D37" s="85" t="str">
        <f xml:space="preserve"> setValueToTime(C37)</f>
        <v>3h 10 min</v>
      </c>
      <c r="E37" s="94"/>
      <c r="F37" s="241"/>
      <c r="G37" s="242"/>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3" t="s">
        <v>42</v>
      </c>
      <c r="G40" s="244"/>
      <c r="H40" s="150"/>
    </row>
    <row r="41" spans="2:8" s="43" customFormat="1" x14ac:dyDescent="0.3">
      <c r="B41" s="40" t="s">
        <v>32</v>
      </c>
      <c r="C41" s="41">
        <v>35</v>
      </c>
      <c r="D41" s="124" t="str">
        <f xml:space="preserve"> IF(C41="","",setValueToTime(C41))</f>
        <v>2h 55 min</v>
      </c>
      <c r="E41" s="182" t="s">
        <v>96</v>
      </c>
      <c r="F41" s="245"/>
      <c r="G41" s="246"/>
      <c r="H41" s="151"/>
    </row>
    <row r="42" spans="2:8" s="43" customFormat="1" ht="15" thickBot="1" x14ac:dyDescent="0.35">
      <c r="B42" s="44" t="s">
        <v>31</v>
      </c>
      <c r="C42" s="47">
        <v>3</v>
      </c>
      <c r="D42" s="127" t="str">
        <f t="shared" ref="D42" si="6" xml:space="preserve"> IF(C42="","",setValueToTime(C42))</f>
        <v xml:space="preserve"> 15 min</v>
      </c>
      <c r="E42" s="185" t="s">
        <v>79</v>
      </c>
      <c r="F42" s="239"/>
      <c r="G42" s="240"/>
      <c r="H42" s="151"/>
    </row>
    <row r="43" spans="2:8" s="43" customFormat="1" ht="15" thickBot="1" x14ac:dyDescent="0.35">
      <c r="B43" s="85" t="s">
        <v>44</v>
      </c>
      <c r="C43" s="67">
        <f>SUM(C41:C42)</f>
        <v>38</v>
      </c>
      <c r="D43" s="85" t="str">
        <f xml:space="preserve"> setValueToTime(C43)</f>
        <v>3h 10 min</v>
      </c>
      <c r="E43" s="94"/>
      <c r="F43" s="241"/>
      <c r="G43" s="242"/>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3" t="s">
        <v>42</v>
      </c>
      <c r="G46" s="244"/>
      <c r="H46" s="150"/>
    </row>
    <row r="47" spans="2:8" s="43" customFormat="1" x14ac:dyDescent="0.3">
      <c r="B47" s="40" t="s">
        <v>32</v>
      </c>
      <c r="C47" s="41">
        <v>45</v>
      </c>
      <c r="D47" s="124" t="str">
        <f xml:space="preserve"> IF(C47="","",setValueToTime(C47))</f>
        <v>3h 45 min</v>
      </c>
      <c r="E47" s="182" t="s">
        <v>96</v>
      </c>
      <c r="F47" s="245"/>
      <c r="G47" s="246"/>
      <c r="H47" s="151"/>
    </row>
    <row r="48" spans="2:8" s="43" customFormat="1" ht="15" thickBot="1" x14ac:dyDescent="0.35">
      <c r="B48" s="44" t="s">
        <v>31</v>
      </c>
      <c r="C48" s="47">
        <v>3</v>
      </c>
      <c r="D48" s="127" t="str">
        <f t="shared" ref="D48" si="7" xml:space="preserve"> IF(C48="","",setValueToTime(C48))</f>
        <v xml:space="preserve"> 15 min</v>
      </c>
      <c r="E48" s="185" t="s">
        <v>79</v>
      </c>
      <c r="F48" s="239"/>
      <c r="G48" s="240"/>
      <c r="H48" s="151"/>
    </row>
    <row r="49" spans="2:8" s="43" customFormat="1" ht="15" thickBot="1" x14ac:dyDescent="0.35">
      <c r="B49" s="85" t="s">
        <v>44</v>
      </c>
      <c r="C49" s="67">
        <f>SUM(C47:C48)</f>
        <v>48</v>
      </c>
      <c r="D49" s="85" t="str">
        <f xml:space="preserve"> setValueToTime(C49)</f>
        <v>4h</v>
      </c>
      <c r="E49" s="94"/>
      <c r="F49" s="241"/>
      <c r="G49" s="242"/>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3" t="s">
        <v>42</v>
      </c>
      <c r="G52" s="244"/>
      <c r="H52" s="150"/>
    </row>
    <row r="53" spans="2:8" s="43" customFormat="1" ht="27" x14ac:dyDescent="0.3">
      <c r="B53" s="40" t="s">
        <v>72</v>
      </c>
      <c r="C53" s="41">
        <v>35</v>
      </c>
      <c r="D53" s="124" t="str">
        <f xml:space="preserve"> IF(C53="","",setValueToTime(C53))</f>
        <v>2h 55 min</v>
      </c>
      <c r="E53" s="182" t="s">
        <v>101</v>
      </c>
      <c r="F53" s="245"/>
      <c r="G53" s="246"/>
      <c r="H53" s="151"/>
    </row>
    <row r="54" spans="2:8" s="43" customFormat="1" ht="15" thickBot="1" x14ac:dyDescent="0.35">
      <c r="B54" s="44" t="s">
        <v>31</v>
      </c>
      <c r="C54" s="47">
        <v>3</v>
      </c>
      <c r="D54" s="127" t="str">
        <f t="shared" ref="D54" si="8" xml:space="preserve"> IF(C54="","",setValueToTime(C54))</f>
        <v xml:space="preserve"> 15 min</v>
      </c>
      <c r="E54" s="185" t="s">
        <v>79</v>
      </c>
      <c r="F54" s="239"/>
      <c r="G54" s="240"/>
      <c r="H54" s="151"/>
    </row>
    <row r="55" spans="2:8" s="43" customFormat="1" ht="15" thickBot="1" x14ac:dyDescent="0.35">
      <c r="B55" s="85" t="s">
        <v>44</v>
      </c>
      <c r="C55" s="67">
        <f>SUM(C53:C54)</f>
        <v>38</v>
      </c>
      <c r="D55" s="85" t="str">
        <f xml:space="preserve"> setValueToTime(C55)</f>
        <v>3h 10 min</v>
      </c>
      <c r="E55" s="94"/>
      <c r="F55" s="241"/>
      <c r="G55" s="242"/>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3" t="s">
        <v>42</v>
      </c>
      <c r="G58" s="244"/>
      <c r="H58" s="150"/>
    </row>
    <row r="59" spans="2:8" s="43" customFormat="1" ht="27" x14ac:dyDescent="0.3">
      <c r="B59" s="40" t="s">
        <v>72</v>
      </c>
      <c r="C59" s="41">
        <v>45</v>
      </c>
      <c r="D59" s="124" t="str">
        <f xml:space="preserve"> IF(C59="","",setValueToTime(C59))</f>
        <v>3h 45 min</v>
      </c>
      <c r="E59" s="182" t="s">
        <v>101</v>
      </c>
      <c r="F59" s="245"/>
      <c r="G59" s="246"/>
      <c r="H59" s="151"/>
    </row>
    <row r="60" spans="2:8" s="43" customFormat="1" ht="15" thickBot="1" x14ac:dyDescent="0.35">
      <c r="B60" s="44" t="s">
        <v>31</v>
      </c>
      <c r="C60" s="47">
        <v>3</v>
      </c>
      <c r="D60" s="127" t="str">
        <f t="shared" ref="D60" si="9" xml:space="preserve"> IF(C60="","",setValueToTime(C60))</f>
        <v xml:space="preserve"> 15 min</v>
      </c>
      <c r="E60" s="185" t="s">
        <v>79</v>
      </c>
      <c r="F60" s="239"/>
      <c r="G60" s="240"/>
      <c r="H60" s="151"/>
    </row>
    <row r="61" spans="2:8" s="43" customFormat="1" ht="15" thickBot="1" x14ac:dyDescent="0.35">
      <c r="B61" s="85" t="s">
        <v>44</v>
      </c>
      <c r="C61" s="67">
        <f>SUM(C59:C60)</f>
        <v>48</v>
      </c>
      <c r="D61" s="85" t="str">
        <f xml:space="preserve"> setValueToTime(C61)</f>
        <v>4h</v>
      </c>
      <c r="E61" s="94"/>
      <c r="F61" s="241"/>
      <c r="G61" s="242"/>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3" t="s">
        <v>42</v>
      </c>
      <c r="G64" s="244"/>
      <c r="H64" s="150"/>
    </row>
    <row r="65" spans="2:8" s="43" customFormat="1" ht="27" x14ac:dyDescent="0.3">
      <c r="B65" s="40" t="s">
        <v>51</v>
      </c>
      <c r="C65" s="41">
        <v>18</v>
      </c>
      <c r="D65" s="124" t="str">
        <f xml:space="preserve"> IF(C65="","",setValueToTime(C65))</f>
        <v>1h 30 min</v>
      </c>
      <c r="E65" s="182" t="s">
        <v>100</v>
      </c>
      <c r="F65" s="245"/>
      <c r="G65" s="246"/>
      <c r="H65" s="151"/>
    </row>
    <row r="66" spans="2:8" s="43" customFormat="1" ht="27" x14ac:dyDescent="0.3">
      <c r="B66" s="44" t="s">
        <v>72</v>
      </c>
      <c r="C66" s="45">
        <v>17</v>
      </c>
      <c r="D66" s="125" t="str">
        <f xml:space="preserve"> IF(C66="","",setValueToTime(C66))</f>
        <v>1h 25 min</v>
      </c>
      <c r="E66" s="183" t="s">
        <v>101</v>
      </c>
      <c r="F66" s="247"/>
      <c r="G66" s="248"/>
      <c r="H66" s="151"/>
    </row>
    <row r="67" spans="2:8" s="43" customFormat="1" ht="15" thickBot="1" x14ac:dyDescent="0.35">
      <c r="B67" s="44" t="s">
        <v>31</v>
      </c>
      <c r="C67" s="47">
        <v>3</v>
      </c>
      <c r="D67" s="127" t="str">
        <f t="shared" ref="D67" si="10" xml:space="preserve"> IF(C67="","",setValueToTime(C67))</f>
        <v xml:space="preserve"> 15 min</v>
      </c>
      <c r="E67" s="185" t="s">
        <v>79</v>
      </c>
      <c r="F67" s="239"/>
      <c r="G67" s="240"/>
      <c r="H67" s="151"/>
    </row>
    <row r="68" spans="2:8" s="43" customFormat="1" ht="15" thickBot="1" x14ac:dyDescent="0.35">
      <c r="B68" s="85" t="s">
        <v>44</v>
      </c>
      <c r="C68" s="67">
        <f>SUM(C65:C67)</f>
        <v>38</v>
      </c>
      <c r="D68" s="85" t="str">
        <f xml:space="preserve"> setValueToTime(C68)</f>
        <v>3h 10 min</v>
      </c>
      <c r="E68" s="94"/>
      <c r="F68" s="241"/>
      <c r="G68" s="242"/>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3" t="s">
        <v>42</v>
      </c>
      <c r="G71" s="244"/>
      <c r="H71" s="150"/>
    </row>
    <row r="72" spans="2:8" s="43" customFormat="1" x14ac:dyDescent="0.3">
      <c r="B72" s="44" t="s">
        <v>50</v>
      </c>
      <c r="C72" s="45">
        <v>35</v>
      </c>
      <c r="D72" s="126" t="str">
        <f t="shared" ref="D72:D73" si="11" xml:space="preserve"> IF(C72="","",setValueToTime(C72))</f>
        <v>2h 55 min</v>
      </c>
      <c r="E72" s="183" t="s">
        <v>99</v>
      </c>
      <c r="F72" s="247"/>
      <c r="G72" s="248"/>
      <c r="H72" s="151"/>
    </row>
    <row r="73" spans="2:8" s="43" customFormat="1" ht="15" thickBot="1" x14ac:dyDescent="0.35">
      <c r="B73" s="44" t="s">
        <v>31</v>
      </c>
      <c r="C73" s="47">
        <v>3</v>
      </c>
      <c r="D73" s="127" t="str">
        <f t="shared" si="11"/>
        <v xml:space="preserve"> 15 min</v>
      </c>
      <c r="E73" s="185" t="s">
        <v>79</v>
      </c>
      <c r="F73" s="239"/>
      <c r="G73" s="240"/>
      <c r="H73" s="151"/>
    </row>
    <row r="74" spans="2:8" s="43" customFormat="1" ht="15" thickBot="1" x14ac:dyDescent="0.35">
      <c r="B74" s="85" t="s">
        <v>44</v>
      </c>
      <c r="C74" s="67">
        <f>SUM(C72:C73)</f>
        <v>38</v>
      </c>
      <c r="D74" s="85" t="str">
        <f xml:space="preserve"> setValueToTime(C74)</f>
        <v>3h 10 min</v>
      </c>
      <c r="E74" s="94"/>
      <c r="F74" s="241"/>
      <c r="G74" s="242"/>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3" t="s">
        <v>42</v>
      </c>
      <c r="G77" s="244"/>
      <c r="H77" s="150"/>
    </row>
    <row r="78" spans="2:8" s="43" customFormat="1" x14ac:dyDescent="0.3">
      <c r="B78" s="44" t="s">
        <v>32</v>
      </c>
      <c r="C78" s="45">
        <v>35</v>
      </c>
      <c r="D78" s="126" t="str">
        <f t="shared" ref="D78:D79" si="12" xml:space="preserve"> IF(C78="","",setValueToTime(C78))</f>
        <v>2h 55 min</v>
      </c>
      <c r="E78" s="183" t="s">
        <v>96</v>
      </c>
      <c r="F78" s="247"/>
      <c r="G78" s="248"/>
      <c r="H78" s="151"/>
    </row>
    <row r="79" spans="2:8" s="43" customFormat="1" ht="15" thickBot="1" x14ac:dyDescent="0.35">
      <c r="B79" s="44" t="s">
        <v>31</v>
      </c>
      <c r="C79" s="47">
        <v>3</v>
      </c>
      <c r="D79" s="127" t="str">
        <f t="shared" si="12"/>
        <v xml:space="preserve"> 15 min</v>
      </c>
      <c r="E79" s="185" t="s">
        <v>79</v>
      </c>
      <c r="F79" s="239"/>
      <c r="G79" s="240"/>
      <c r="H79" s="151"/>
    </row>
    <row r="80" spans="2:8" s="43" customFormat="1" ht="15" thickBot="1" x14ac:dyDescent="0.35">
      <c r="B80" s="85" t="s">
        <v>44</v>
      </c>
      <c r="C80" s="67">
        <f>SUM(C78:C79)</f>
        <v>38</v>
      </c>
      <c r="D80" s="85" t="str">
        <f xml:space="preserve"> setValueToTime(C80)</f>
        <v>3h 10 min</v>
      </c>
      <c r="E80" s="94"/>
      <c r="F80" s="241"/>
      <c r="G80" s="242"/>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3" t="s">
        <v>42</v>
      </c>
      <c r="G83" s="244"/>
      <c r="H83" s="150"/>
    </row>
    <row r="84" spans="2:8" s="43" customFormat="1" x14ac:dyDescent="0.3">
      <c r="B84" s="40" t="s">
        <v>32</v>
      </c>
      <c r="C84" s="41">
        <v>23</v>
      </c>
      <c r="D84" s="124" t="str">
        <f xml:space="preserve"> IF(C84="","",setValueToTime(C84))</f>
        <v>1h 55 min</v>
      </c>
      <c r="E84" s="182" t="s">
        <v>96</v>
      </c>
      <c r="F84" s="245"/>
      <c r="G84" s="246"/>
      <c r="H84" s="151"/>
    </row>
    <row r="85" spans="2:8" s="43" customFormat="1" ht="15" thickBot="1" x14ac:dyDescent="0.35">
      <c r="B85" s="44" t="s">
        <v>31</v>
      </c>
      <c r="C85" s="47">
        <v>3</v>
      </c>
      <c r="D85" s="127" t="str">
        <f t="shared" ref="D85" si="13" xml:space="preserve"> IF(C85="","",setValueToTime(C85))</f>
        <v xml:space="preserve"> 15 min</v>
      </c>
      <c r="E85" s="185" t="s">
        <v>79</v>
      </c>
      <c r="F85" s="239"/>
      <c r="G85" s="240"/>
      <c r="H85" s="151"/>
    </row>
    <row r="86" spans="2:8" s="43" customFormat="1" ht="15" thickBot="1" x14ac:dyDescent="0.35">
      <c r="B86" s="85" t="s">
        <v>44</v>
      </c>
      <c r="C86" s="67">
        <f>SUM(C84:C85)</f>
        <v>26</v>
      </c>
      <c r="D86" s="85" t="str">
        <f xml:space="preserve"> setValueToTime(C86)</f>
        <v>2h 10 min</v>
      </c>
      <c r="E86" s="94"/>
      <c r="F86" s="241"/>
      <c r="G86" s="242"/>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3" t="s">
        <v>42</v>
      </c>
      <c r="G89" s="244"/>
      <c r="H89" s="150"/>
    </row>
    <row r="90" spans="2:8" s="43" customFormat="1" x14ac:dyDescent="0.3">
      <c r="B90" s="40" t="s">
        <v>32</v>
      </c>
      <c r="C90" s="41">
        <v>35</v>
      </c>
      <c r="D90" s="124" t="str">
        <f xml:space="preserve"> IF(C90="","",setValueToTime(C90))</f>
        <v>2h 55 min</v>
      </c>
      <c r="E90" s="182" t="s">
        <v>96</v>
      </c>
      <c r="F90" s="245"/>
      <c r="G90" s="246"/>
      <c r="H90" s="151"/>
    </row>
    <row r="91" spans="2:8" s="43" customFormat="1" ht="15" thickBot="1" x14ac:dyDescent="0.35">
      <c r="B91" s="44" t="s">
        <v>31</v>
      </c>
      <c r="C91" s="47">
        <v>3</v>
      </c>
      <c r="D91" s="127" t="str">
        <f t="shared" ref="D91" si="14" xml:space="preserve"> IF(C91="","",setValueToTime(C91))</f>
        <v xml:space="preserve"> 15 min</v>
      </c>
      <c r="E91" s="185" t="s">
        <v>79</v>
      </c>
      <c r="F91" s="239"/>
      <c r="G91" s="240"/>
      <c r="H91" s="151"/>
    </row>
    <row r="92" spans="2:8" s="43" customFormat="1" ht="15" thickBot="1" x14ac:dyDescent="0.35">
      <c r="B92" s="85" t="s">
        <v>44</v>
      </c>
      <c r="C92" s="67">
        <f>SUM(C90:C91)</f>
        <v>38</v>
      </c>
      <c r="D92" s="85" t="str">
        <f xml:space="preserve"> setValueToTime(C92)</f>
        <v>3h 10 min</v>
      </c>
      <c r="E92" s="94"/>
      <c r="F92" s="241"/>
      <c r="G92" s="242"/>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3" t="s">
        <v>42</v>
      </c>
      <c r="G95" s="244"/>
      <c r="H95" s="150"/>
    </row>
    <row r="96" spans="2:8" s="43" customFormat="1" x14ac:dyDescent="0.3">
      <c r="B96" s="40" t="s">
        <v>32</v>
      </c>
      <c r="C96" s="41">
        <v>35</v>
      </c>
      <c r="D96" s="124" t="str">
        <f xml:space="preserve"> IF(C96="","",setValueToTime(C96))</f>
        <v>2h 55 min</v>
      </c>
      <c r="E96" s="182" t="s">
        <v>96</v>
      </c>
      <c r="F96" s="245"/>
      <c r="G96" s="246"/>
      <c r="H96" s="151"/>
    </row>
    <row r="97" spans="2:8" s="43" customFormat="1" ht="15" thickBot="1" x14ac:dyDescent="0.35">
      <c r="B97" s="44" t="s">
        <v>31</v>
      </c>
      <c r="C97" s="47">
        <v>3</v>
      </c>
      <c r="D97" s="127" t="str">
        <f t="shared" ref="D97" si="15" xml:space="preserve"> IF(C97="","",setValueToTime(C97))</f>
        <v xml:space="preserve"> 15 min</v>
      </c>
      <c r="E97" s="185" t="s">
        <v>79</v>
      </c>
      <c r="F97" s="239"/>
      <c r="G97" s="240"/>
      <c r="H97" s="151"/>
    </row>
    <row r="98" spans="2:8" s="43" customFormat="1" ht="15" thickBot="1" x14ac:dyDescent="0.35">
      <c r="B98" s="85" t="s">
        <v>44</v>
      </c>
      <c r="C98" s="67">
        <f>SUM(C96:C97)</f>
        <v>38</v>
      </c>
      <c r="D98" s="85" t="str">
        <f xml:space="preserve"> setValueToTime(C98)</f>
        <v>3h 10 min</v>
      </c>
      <c r="E98" s="94"/>
      <c r="F98" s="241"/>
      <c r="G98" s="242"/>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3" t="s">
        <v>42</v>
      </c>
      <c r="G101" s="244"/>
      <c r="H101" s="150"/>
    </row>
    <row r="102" spans="2:8" s="43" customFormat="1" x14ac:dyDescent="0.3">
      <c r="B102" s="40" t="s">
        <v>32</v>
      </c>
      <c r="C102" s="41">
        <v>45</v>
      </c>
      <c r="D102" s="124" t="str">
        <f xml:space="preserve"> IF(C102="","",setValueToTime(C102))</f>
        <v>3h 45 min</v>
      </c>
      <c r="E102" s="182" t="s">
        <v>97</v>
      </c>
      <c r="F102" s="245"/>
      <c r="G102" s="246"/>
      <c r="H102" s="151"/>
    </row>
    <row r="103" spans="2:8" s="43" customFormat="1" ht="15" thickBot="1" x14ac:dyDescent="0.35">
      <c r="B103" s="44" t="s">
        <v>31</v>
      </c>
      <c r="C103" s="47">
        <v>3</v>
      </c>
      <c r="D103" s="127" t="str">
        <f t="shared" ref="D103" si="16" xml:space="preserve"> IF(C103="","",setValueToTime(C103))</f>
        <v xml:space="preserve"> 15 min</v>
      </c>
      <c r="E103" s="185" t="s">
        <v>79</v>
      </c>
      <c r="F103" s="239"/>
      <c r="G103" s="240"/>
      <c r="H103" s="151"/>
    </row>
    <row r="104" spans="2:8" s="43" customFormat="1" ht="15" thickBot="1" x14ac:dyDescent="0.35">
      <c r="B104" s="85" t="s">
        <v>44</v>
      </c>
      <c r="C104" s="67">
        <f>SUM(C102:C103)</f>
        <v>48</v>
      </c>
      <c r="D104" s="85" t="str">
        <f xml:space="preserve"> setValueToTime(C104)</f>
        <v>4h</v>
      </c>
      <c r="E104" s="94"/>
      <c r="F104" s="241"/>
      <c r="G104" s="242"/>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3" t="s">
        <v>42</v>
      </c>
      <c r="G107" s="244"/>
      <c r="H107" s="150"/>
    </row>
    <row r="108" spans="2:8" s="43" customFormat="1" x14ac:dyDescent="0.3">
      <c r="B108" s="40" t="s">
        <v>34</v>
      </c>
      <c r="C108" s="41">
        <v>35</v>
      </c>
      <c r="D108" s="124" t="str">
        <f xml:space="preserve"> IF(C108="","",setValueToTime(C108))</f>
        <v>2h 55 min</v>
      </c>
      <c r="E108" s="182" t="s">
        <v>93</v>
      </c>
      <c r="F108" s="245"/>
      <c r="G108" s="246"/>
      <c r="H108" s="151"/>
    </row>
    <row r="109" spans="2:8" s="43" customFormat="1" ht="15" thickBot="1" x14ac:dyDescent="0.35">
      <c r="B109" s="44" t="s">
        <v>31</v>
      </c>
      <c r="C109" s="47">
        <v>3</v>
      </c>
      <c r="D109" s="127" t="str">
        <f t="shared" ref="D109" si="17" xml:space="preserve"> IF(C109="","",setValueToTime(C109))</f>
        <v xml:space="preserve"> 15 min</v>
      </c>
      <c r="E109" s="185" t="s">
        <v>79</v>
      </c>
      <c r="F109" s="239"/>
      <c r="G109" s="240"/>
      <c r="H109" s="151"/>
    </row>
    <row r="110" spans="2:8" s="43" customFormat="1" ht="15" thickBot="1" x14ac:dyDescent="0.35">
      <c r="B110" s="85" t="s">
        <v>44</v>
      </c>
      <c r="C110" s="67">
        <f>SUM(C108:C109)</f>
        <v>38</v>
      </c>
      <c r="D110" s="85" t="str">
        <f xml:space="preserve"> setValueToTime(C110)</f>
        <v>3h 10 min</v>
      </c>
      <c r="E110" s="94"/>
      <c r="F110" s="241"/>
      <c r="G110" s="242"/>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3" t="s">
        <v>42</v>
      </c>
      <c r="G113" s="244"/>
      <c r="H113" s="150"/>
    </row>
    <row r="114" spans="2:8" s="43" customFormat="1" ht="27" x14ac:dyDescent="0.3">
      <c r="B114" s="40" t="s">
        <v>60</v>
      </c>
      <c r="C114" s="41">
        <v>45</v>
      </c>
      <c r="D114" s="124" t="str">
        <f xml:space="preserve"> IF(C114="","",setValueToTime(C114))</f>
        <v>3h 45 min</v>
      </c>
      <c r="E114" s="182" t="s">
        <v>92</v>
      </c>
      <c r="F114" s="245"/>
      <c r="G114" s="246"/>
      <c r="H114" s="151"/>
    </row>
    <row r="115" spans="2:8" s="43" customFormat="1" ht="15" thickBot="1" x14ac:dyDescent="0.35">
      <c r="B115" s="44" t="s">
        <v>31</v>
      </c>
      <c r="C115" s="47">
        <v>3</v>
      </c>
      <c r="D115" s="127" t="str">
        <f t="shared" ref="D115" si="18" xml:space="preserve"> IF(C115="","",setValueToTime(C115))</f>
        <v xml:space="preserve"> 15 min</v>
      </c>
      <c r="E115" s="185" t="s">
        <v>79</v>
      </c>
      <c r="F115" s="239"/>
      <c r="G115" s="240"/>
      <c r="H115" s="151"/>
    </row>
    <row r="116" spans="2:8" s="43" customFormat="1" ht="15" thickBot="1" x14ac:dyDescent="0.35">
      <c r="B116" s="85" t="s">
        <v>44</v>
      </c>
      <c r="C116" s="67">
        <f>SUM(C114:C115)</f>
        <v>48</v>
      </c>
      <c r="D116" s="85" t="str">
        <f xml:space="preserve"> setValueToTime(C116)</f>
        <v>4h</v>
      </c>
      <c r="E116" s="94"/>
      <c r="F116" s="241"/>
      <c r="G116" s="242"/>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3" t="s">
        <v>42</v>
      </c>
      <c r="G119" s="244"/>
      <c r="H119" s="150"/>
    </row>
    <row r="120" spans="2:8" s="43" customFormat="1" ht="27" x14ac:dyDescent="0.3">
      <c r="B120" s="40" t="s">
        <v>59</v>
      </c>
      <c r="C120" s="41">
        <v>8</v>
      </c>
      <c r="D120" s="124" t="str">
        <f xml:space="preserve"> IF(C120="","",setValueToTime(C120))</f>
        <v xml:space="preserve"> 40 min</v>
      </c>
      <c r="E120" s="182" t="s">
        <v>90</v>
      </c>
      <c r="F120" s="245"/>
      <c r="G120" s="246"/>
      <c r="H120" s="151"/>
    </row>
    <row r="121" spans="2:8" s="43" customFormat="1" ht="27" x14ac:dyDescent="0.3">
      <c r="B121" s="44" t="s">
        <v>60</v>
      </c>
      <c r="C121" s="45">
        <v>27</v>
      </c>
      <c r="D121" s="125" t="str">
        <f t="shared" ref="D121:D122" si="19" xml:space="preserve"> IF(C121="","",setValueToTime(C121))</f>
        <v>2h 15 min</v>
      </c>
      <c r="E121" s="183" t="s">
        <v>91</v>
      </c>
      <c r="F121" s="247"/>
      <c r="G121" s="248"/>
      <c r="H121" s="151"/>
    </row>
    <row r="122" spans="2:8" s="43" customFormat="1" ht="15" thickBot="1" x14ac:dyDescent="0.35">
      <c r="B122" s="44" t="s">
        <v>31</v>
      </c>
      <c r="C122" s="47">
        <v>3</v>
      </c>
      <c r="D122" s="127" t="str">
        <f t="shared" si="19"/>
        <v xml:space="preserve"> 15 min</v>
      </c>
      <c r="E122" s="185" t="s">
        <v>79</v>
      </c>
      <c r="F122" s="239"/>
      <c r="G122" s="240"/>
      <c r="H122" s="151"/>
    </row>
    <row r="123" spans="2:8" s="43" customFormat="1" ht="15" thickBot="1" x14ac:dyDescent="0.35">
      <c r="B123" s="85" t="s">
        <v>44</v>
      </c>
      <c r="C123" s="67">
        <f>SUM(C120:C122)</f>
        <v>38</v>
      </c>
      <c r="D123" s="85" t="str">
        <f xml:space="preserve"> setValueToTime(C123)</f>
        <v>3h 10 min</v>
      </c>
      <c r="E123" s="94"/>
      <c r="F123" s="241"/>
      <c r="G123" s="242"/>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3" t="s">
        <v>42</v>
      </c>
      <c r="G126" s="244"/>
      <c r="H126" s="150"/>
    </row>
    <row r="127" spans="2:8" s="43" customFormat="1" ht="27" x14ac:dyDescent="0.3">
      <c r="B127" s="40" t="s">
        <v>58</v>
      </c>
      <c r="C127" s="41">
        <v>31</v>
      </c>
      <c r="D127" s="124" t="str">
        <f xml:space="preserve"> IF(C127="","",setValueToTime(C127))</f>
        <v>2h 35 min</v>
      </c>
      <c r="E127" s="182" t="s">
        <v>88</v>
      </c>
      <c r="F127" s="245"/>
      <c r="G127" s="246"/>
      <c r="H127" s="151"/>
    </row>
    <row r="128" spans="2:8" s="43" customFormat="1" ht="27" x14ac:dyDescent="0.3">
      <c r="B128" s="44" t="s">
        <v>59</v>
      </c>
      <c r="C128" s="45">
        <v>4</v>
      </c>
      <c r="D128" s="125" t="str">
        <f t="shared" ref="D128:D129" si="20" xml:space="preserve"> IF(C128="","",setValueToTime(C128))</f>
        <v xml:space="preserve"> 20 min</v>
      </c>
      <c r="E128" s="183" t="s">
        <v>89</v>
      </c>
      <c r="F128" s="247"/>
      <c r="G128" s="248"/>
      <c r="H128" s="151"/>
    </row>
    <row r="129" spans="2:8" s="43" customFormat="1" ht="15" thickBot="1" x14ac:dyDescent="0.35">
      <c r="B129" s="44" t="s">
        <v>31</v>
      </c>
      <c r="C129" s="47">
        <v>3</v>
      </c>
      <c r="D129" s="127" t="str">
        <f t="shared" si="20"/>
        <v xml:space="preserve"> 15 min</v>
      </c>
      <c r="E129" s="185" t="s">
        <v>79</v>
      </c>
      <c r="F129" s="239"/>
      <c r="G129" s="240"/>
      <c r="H129" s="151"/>
    </row>
    <row r="130" spans="2:8" s="43" customFormat="1" ht="15" thickBot="1" x14ac:dyDescent="0.35">
      <c r="B130" s="85" t="s">
        <v>44</v>
      </c>
      <c r="C130" s="67">
        <f>SUM(C127:C129)</f>
        <v>38</v>
      </c>
      <c r="D130" s="85" t="str">
        <f xml:space="preserve"> setValueToTime(C130)</f>
        <v>3h 10 min</v>
      </c>
      <c r="E130" s="94"/>
      <c r="F130" s="241"/>
      <c r="G130" s="242"/>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3" t="s">
        <v>42</v>
      </c>
      <c r="G133" s="244"/>
      <c r="H133" s="150"/>
    </row>
    <row r="134" spans="2:8" s="43" customFormat="1" ht="27" x14ac:dyDescent="0.3">
      <c r="B134" s="40" t="s">
        <v>57</v>
      </c>
      <c r="C134" s="41">
        <v>18</v>
      </c>
      <c r="D134" s="124" t="str">
        <f xml:space="preserve"> IF(C134="","",setValueToTime(C134))</f>
        <v>1h 30 min</v>
      </c>
      <c r="E134" s="182" t="s">
        <v>86</v>
      </c>
      <c r="F134" s="245"/>
      <c r="G134" s="246"/>
      <c r="H134" s="151"/>
    </row>
    <row r="135" spans="2:8" s="43" customFormat="1" ht="27" x14ac:dyDescent="0.3">
      <c r="B135" s="44" t="s">
        <v>58</v>
      </c>
      <c r="C135" s="45">
        <v>17</v>
      </c>
      <c r="D135" s="125" t="str">
        <f t="shared" ref="D135:D136" si="21" xml:space="preserve"> IF(C135="","",setValueToTime(C135))</f>
        <v>1h 25 min</v>
      </c>
      <c r="E135" s="183" t="s">
        <v>87</v>
      </c>
      <c r="F135" s="247"/>
      <c r="G135" s="248"/>
      <c r="H135" s="151"/>
    </row>
    <row r="136" spans="2:8" s="43" customFormat="1" ht="15" thickBot="1" x14ac:dyDescent="0.35">
      <c r="B136" s="44" t="s">
        <v>31</v>
      </c>
      <c r="C136" s="47">
        <v>3</v>
      </c>
      <c r="D136" s="127" t="str">
        <f t="shared" si="21"/>
        <v xml:space="preserve"> 15 min</v>
      </c>
      <c r="E136" s="185" t="s">
        <v>79</v>
      </c>
      <c r="F136" s="239"/>
      <c r="G136" s="240"/>
      <c r="H136" s="151"/>
    </row>
    <row r="137" spans="2:8" s="43" customFormat="1" ht="15" thickBot="1" x14ac:dyDescent="0.35">
      <c r="B137" s="85" t="s">
        <v>44</v>
      </c>
      <c r="C137" s="67">
        <f>SUM(C134:C136)</f>
        <v>38</v>
      </c>
      <c r="D137" s="85" t="str">
        <f xml:space="preserve"> setValueToTime(C137)</f>
        <v>3h 10 min</v>
      </c>
      <c r="E137" s="94"/>
      <c r="F137" s="241"/>
      <c r="G137" s="242"/>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3" t="s">
        <v>42</v>
      </c>
      <c r="G140" s="244"/>
      <c r="H140" s="150"/>
    </row>
    <row r="141" spans="2:8" s="43" customFormat="1" x14ac:dyDescent="0.3">
      <c r="B141" s="40" t="s">
        <v>33</v>
      </c>
      <c r="C141" s="41">
        <v>17</v>
      </c>
      <c r="D141" s="124" t="str">
        <f xml:space="preserve"> IF(C141="","",setValueToTime(C141))</f>
        <v>1h 25 min</v>
      </c>
      <c r="E141" s="182" t="s">
        <v>95</v>
      </c>
      <c r="F141" s="245"/>
      <c r="G141" s="246"/>
      <c r="H141" s="151"/>
    </row>
    <row r="142" spans="2:8" s="43" customFormat="1" ht="27" x14ac:dyDescent="0.3">
      <c r="B142" s="44" t="s">
        <v>57</v>
      </c>
      <c r="C142" s="45">
        <v>6</v>
      </c>
      <c r="D142" s="125" t="str">
        <f xml:space="preserve"> IF(C142="","",setValueToTime(C142))</f>
        <v xml:space="preserve"> 30 min</v>
      </c>
      <c r="E142" s="183" t="s">
        <v>85</v>
      </c>
      <c r="F142" s="247"/>
      <c r="G142" s="248"/>
      <c r="H142" s="151"/>
    </row>
    <row r="143" spans="2:8" s="43" customFormat="1" ht="15" thickBot="1" x14ac:dyDescent="0.35">
      <c r="B143" s="44" t="s">
        <v>31</v>
      </c>
      <c r="C143" s="45">
        <v>3</v>
      </c>
      <c r="D143" s="125" t="str">
        <f t="shared" ref="D143" si="22" xml:space="preserve"> IF(C143="","",setValueToTime(C143))</f>
        <v xml:space="preserve"> 15 min</v>
      </c>
      <c r="E143" s="183" t="s">
        <v>79</v>
      </c>
      <c r="F143" s="247"/>
      <c r="G143" s="248"/>
      <c r="H143" s="151"/>
    </row>
    <row r="144" spans="2:8" s="43" customFormat="1" ht="15" thickBot="1" x14ac:dyDescent="0.35">
      <c r="B144" s="85" t="s">
        <v>44</v>
      </c>
      <c r="C144" s="67">
        <f>SUM(C141:C143)</f>
        <v>26</v>
      </c>
      <c r="D144" s="85" t="str">
        <f xml:space="preserve"> setValueToTime(C144)</f>
        <v>2h 10 min</v>
      </c>
      <c r="E144" s="94"/>
      <c r="F144" s="241"/>
      <c r="G144" s="242"/>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3" t="s">
        <v>42</v>
      </c>
      <c r="G147" s="244"/>
      <c r="H147" s="150"/>
    </row>
    <row r="148" spans="2:8" s="43" customFormat="1" x14ac:dyDescent="0.3">
      <c r="B148" s="40" t="s">
        <v>55</v>
      </c>
      <c r="C148" s="41">
        <v>10</v>
      </c>
      <c r="D148" s="124" t="str">
        <f xml:space="preserve"> IF(C148="","",setValueToTime(C148))</f>
        <v xml:space="preserve"> 50 min</v>
      </c>
      <c r="E148" s="182" t="s">
        <v>81</v>
      </c>
      <c r="F148" s="245"/>
      <c r="G148" s="246"/>
      <c r="H148" s="151"/>
    </row>
    <row r="149" spans="2:8" s="43" customFormat="1" ht="27" x14ac:dyDescent="0.3">
      <c r="B149" s="44" t="s">
        <v>49</v>
      </c>
      <c r="C149" s="45">
        <v>12</v>
      </c>
      <c r="D149" s="125" t="str">
        <f xml:space="preserve"> IF(C149="","",setValueToTime(C149))</f>
        <v>1h</v>
      </c>
      <c r="E149" s="183" t="s">
        <v>82</v>
      </c>
      <c r="F149" s="247"/>
      <c r="G149" s="248"/>
      <c r="H149" s="151"/>
    </row>
    <row r="150" spans="2:8" s="43" customFormat="1" ht="27" x14ac:dyDescent="0.3">
      <c r="B150" s="44" t="s">
        <v>56</v>
      </c>
      <c r="C150" s="45">
        <v>6</v>
      </c>
      <c r="D150" s="125" t="str">
        <f t="shared" ref="D150:D151" si="23" xml:space="preserve"> IF(C150="","",setValueToTime(C150))</f>
        <v xml:space="preserve"> 30 min</v>
      </c>
      <c r="E150" s="183" t="s">
        <v>83</v>
      </c>
      <c r="F150" s="247"/>
      <c r="G150" s="248"/>
      <c r="H150" s="151"/>
    </row>
    <row r="151" spans="2:8" s="43" customFormat="1" ht="27" x14ac:dyDescent="0.3">
      <c r="B151" s="44" t="s">
        <v>179</v>
      </c>
      <c r="C151" s="45">
        <v>6</v>
      </c>
      <c r="D151" s="125" t="str">
        <f t="shared" si="23"/>
        <v xml:space="preserve"> 30 min</v>
      </c>
      <c r="E151" s="183" t="s">
        <v>84</v>
      </c>
      <c r="F151" s="247"/>
      <c r="G151" s="248"/>
      <c r="H151" s="151"/>
    </row>
    <row r="152" spans="2:8" s="43" customFormat="1" x14ac:dyDescent="0.3">
      <c r="B152" s="44" t="s">
        <v>33</v>
      </c>
      <c r="C152" s="45">
        <v>1</v>
      </c>
      <c r="D152" s="125" t="str">
        <f t="shared" ref="D152:D153" si="24" xml:space="preserve"> IF(C152="","",setValueToTime(C152))</f>
        <v xml:space="preserve"> 5 min</v>
      </c>
      <c r="E152" s="183" t="s">
        <v>94</v>
      </c>
      <c r="F152" s="247"/>
      <c r="G152" s="248"/>
      <c r="H152" s="151"/>
    </row>
    <row r="153" spans="2:8" s="43" customFormat="1" ht="15" thickBot="1" x14ac:dyDescent="0.35">
      <c r="B153" s="44" t="s">
        <v>31</v>
      </c>
      <c r="C153" s="45">
        <v>3</v>
      </c>
      <c r="D153" s="125" t="str">
        <f t="shared" si="24"/>
        <v xml:space="preserve"> 15 min</v>
      </c>
      <c r="E153" s="183" t="s">
        <v>79</v>
      </c>
      <c r="F153" s="247"/>
      <c r="G153" s="248"/>
      <c r="H153" s="151"/>
    </row>
    <row r="154" spans="2:8" s="43" customFormat="1" ht="15" thickBot="1" x14ac:dyDescent="0.35">
      <c r="B154" s="85" t="s">
        <v>44</v>
      </c>
      <c r="C154" s="67">
        <f>SUM(C148:C153)</f>
        <v>38</v>
      </c>
      <c r="D154" s="85" t="str">
        <f xml:space="preserve"> setValueToTime(C154)</f>
        <v>3h 10 min</v>
      </c>
      <c r="E154" s="94"/>
      <c r="F154" s="241"/>
      <c r="G154" s="242"/>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3" t="s">
        <v>42</v>
      </c>
      <c r="G157" s="244"/>
      <c r="H157" s="150"/>
    </row>
    <row r="158" spans="2:8" s="43" customFormat="1" ht="27.75" thickBot="1" x14ac:dyDescent="0.35">
      <c r="B158" s="40" t="s">
        <v>53</v>
      </c>
      <c r="C158" s="41">
        <v>15</v>
      </c>
      <c r="D158" s="124" t="str">
        <f xml:space="preserve"> IF(C158="","",setValueToTime(C158))</f>
        <v>1h 15 min</v>
      </c>
      <c r="E158" s="182" t="s">
        <v>76</v>
      </c>
      <c r="F158" s="249"/>
      <c r="G158" s="250"/>
      <c r="H158" s="151"/>
    </row>
    <row r="159" spans="2:8" s="43" customFormat="1" x14ac:dyDescent="0.3">
      <c r="B159" s="40" t="s">
        <v>54</v>
      </c>
      <c r="C159" s="41">
        <v>6</v>
      </c>
      <c r="D159" s="124" t="str">
        <f xml:space="preserve"> IF(C159="","",setValueToTime(C159))</f>
        <v xml:space="preserve"> 30 min</v>
      </c>
      <c r="E159" s="182" t="s">
        <v>78</v>
      </c>
      <c r="F159" s="245"/>
      <c r="G159" s="246"/>
      <c r="H159" s="151"/>
    </row>
    <row r="160" spans="2:8" s="43" customFormat="1" x14ac:dyDescent="0.3">
      <c r="B160" s="184" t="s">
        <v>55</v>
      </c>
      <c r="C160" s="45">
        <v>14</v>
      </c>
      <c r="D160" s="125" t="str">
        <f t="shared" ref="D160:D161" si="25" xml:space="preserve"> IF(C160="","",setValueToTime(C160))</f>
        <v>1h 10 min</v>
      </c>
      <c r="E160" s="183" t="s">
        <v>80</v>
      </c>
      <c r="F160" s="247"/>
      <c r="G160" s="248"/>
      <c r="H160" s="151"/>
    </row>
    <row r="161" spans="2:8" s="43" customFormat="1" ht="15" thickBot="1" x14ac:dyDescent="0.35">
      <c r="B161" s="44" t="s">
        <v>31</v>
      </c>
      <c r="C161" s="45">
        <v>3</v>
      </c>
      <c r="D161" s="125" t="str">
        <f t="shared" si="25"/>
        <v xml:space="preserve"> 15 min</v>
      </c>
      <c r="E161" s="183" t="s">
        <v>79</v>
      </c>
      <c r="F161" s="247"/>
      <c r="G161" s="248"/>
      <c r="H161" s="151"/>
    </row>
    <row r="162" spans="2:8" s="43" customFormat="1" ht="15" thickBot="1" x14ac:dyDescent="0.35">
      <c r="B162" s="85" t="s">
        <v>44</v>
      </c>
      <c r="C162" s="67">
        <f>SUM(C158:C161)</f>
        <v>38</v>
      </c>
      <c r="D162" s="85" t="str">
        <f xml:space="preserve"> setValueToTime(C162)</f>
        <v>3h 10 min</v>
      </c>
      <c r="E162" s="94"/>
      <c r="F162" s="241"/>
      <c r="G162" s="242"/>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3" t="s">
        <v>42</v>
      </c>
      <c r="G165" s="244"/>
      <c r="H165" s="150"/>
    </row>
    <row r="166" spans="2:8" s="43" customFormat="1" x14ac:dyDescent="0.3">
      <c r="B166" s="40" t="s">
        <v>48</v>
      </c>
      <c r="C166" s="41">
        <v>18</v>
      </c>
      <c r="D166" s="124" t="str">
        <f xml:space="preserve"> IF(C166="","",setValueToTime(C166))</f>
        <v>1h 30 min</v>
      </c>
      <c r="E166" s="182" t="s">
        <v>73</v>
      </c>
      <c r="F166" s="245"/>
      <c r="G166" s="246"/>
      <c r="H166" s="151"/>
    </row>
    <row r="167" spans="2:8" s="43" customFormat="1" x14ac:dyDescent="0.3">
      <c r="B167" s="44" t="s">
        <v>52</v>
      </c>
      <c r="C167" s="45">
        <v>12</v>
      </c>
      <c r="D167" s="125" t="str">
        <f t="shared" ref="D167:D169" si="26" xml:space="preserve"> IF(C167="","",setValueToTime(C167))</f>
        <v>1h</v>
      </c>
      <c r="E167" s="183" t="s">
        <v>75</v>
      </c>
      <c r="F167" s="247"/>
      <c r="G167" s="248"/>
      <c r="H167" s="151"/>
    </row>
    <row r="168" spans="2:8" s="43" customFormat="1" ht="27" x14ac:dyDescent="0.3">
      <c r="B168" s="44" t="s">
        <v>53</v>
      </c>
      <c r="C168" s="45">
        <v>15</v>
      </c>
      <c r="D168" s="125" t="str">
        <f t="shared" si="26"/>
        <v>1h 15 min</v>
      </c>
      <c r="E168" s="183" t="s">
        <v>77</v>
      </c>
      <c r="F168" s="247"/>
      <c r="G168" s="248"/>
      <c r="H168" s="151"/>
    </row>
    <row r="169" spans="2:8" s="43" customFormat="1" ht="15" thickBot="1" x14ac:dyDescent="0.35">
      <c r="B169" s="44" t="s">
        <v>31</v>
      </c>
      <c r="C169" s="45">
        <v>3</v>
      </c>
      <c r="D169" s="126" t="str">
        <f t="shared" si="26"/>
        <v xml:space="preserve"> 15 min</v>
      </c>
      <c r="E169" s="183" t="s">
        <v>79</v>
      </c>
      <c r="F169" s="247"/>
      <c r="G169" s="248"/>
      <c r="H169" s="151"/>
    </row>
    <row r="170" spans="2:8" s="43" customFormat="1" ht="15" thickBot="1" x14ac:dyDescent="0.35">
      <c r="B170" s="85" t="s">
        <v>44</v>
      </c>
      <c r="C170" s="67">
        <f>SUM(C166:C169)</f>
        <v>48</v>
      </c>
      <c r="D170" s="85" t="str">
        <f xml:space="preserve"> setValueToTime(C170)</f>
        <v>4h</v>
      </c>
      <c r="E170" s="94"/>
      <c r="F170" s="241"/>
      <c r="G170" s="242"/>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3" t="s">
        <v>42</v>
      </c>
      <c r="G173" s="244"/>
      <c r="H173" s="150"/>
    </row>
    <row r="174" spans="2:8" s="43" customFormat="1" ht="15" thickBot="1" x14ac:dyDescent="0.35">
      <c r="B174" s="40" t="s">
        <v>30</v>
      </c>
      <c r="C174" s="41">
        <v>23</v>
      </c>
      <c r="D174" s="124" t="str">
        <f xml:space="preserve"> IF(C174="","",setValueToTime(C174))</f>
        <v>1h 55 min</v>
      </c>
      <c r="E174" s="182" t="s">
        <v>69</v>
      </c>
      <c r="F174" s="249"/>
      <c r="G174" s="250"/>
      <c r="H174" s="151"/>
    </row>
    <row r="175" spans="2:8" s="43" customFormat="1" ht="27.75" thickBot="1" x14ac:dyDescent="0.35">
      <c r="B175" s="40" t="s">
        <v>47</v>
      </c>
      <c r="C175" s="41">
        <v>6</v>
      </c>
      <c r="D175" s="124" t="str">
        <f xml:space="preserve"> IF(C175="","",setValueToTime(C175))</f>
        <v xml:space="preserve"> 30 min</v>
      </c>
      <c r="E175" s="182" t="s">
        <v>70</v>
      </c>
      <c r="F175" s="249"/>
      <c r="G175" s="250"/>
      <c r="H175" s="151"/>
    </row>
    <row r="176" spans="2:8" s="43" customFormat="1" ht="15" thickBot="1" x14ac:dyDescent="0.35">
      <c r="B176" s="40" t="s">
        <v>48</v>
      </c>
      <c r="C176" s="41">
        <v>6</v>
      </c>
      <c r="D176" s="124" t="str">
        <f xml:space="preserve"> IF(C176="","",setValueToTime(C176))</f>
        <v xml:space="preserve"> 30 min</v>
      </c>
      <c r="E176" s="182" t="s">
        <v>74</v>
      </c>
      <c r="F176" s="249"/>
      <c r="G176" s="250"/>
      <c r="H176" s="151"/>
    </row>
    <row r="177" spans="2:8" s="43" customFormat="1" ht="15" thickBot="1" x14ac:dyDescent="0.35">
      <c r="B177" s="40" t="s">
        <v>31</v>
      </c>
      <c r="C177" s="41">
        <v>3</v>
      </c>
      <c r="D177" s="124" t="str">
        <f xml:space="preserve"> IF(C177="","",setValueToTime(C177))</f>
        <v xml:space="preserve"> 15 min</v>
      </c>
      <c r="E177" s="182" t="s">
        <v>79</v>
      </c>
      <c r="F177" s="249"/>
      <c r="G177" s="250"/>
      <c r="H177" s="151"/>
    </row>
    <row r="178" spans="2:8" s="43" customFormat="1" ht="15" thickBot="1" x14ac:dyDescent="0.35">
      <c r="B178" s="85" t="s">
        <v>44</v>
      </c>
      <c r="C178" s="67">
        <f>SUM(C174:C177)</f>
        <v>38</v>
      </c>
      <c r="D178" s="85" t="str">
        <f xml:space="preserve"> setValueToTime(C178)</f>
        <v>3h 10 min</v>
      </c>
      <c r="E178" s="94"/>
      <c r="F178" s="241"/>
      <c r="G178" s="242"/>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3" t="s">
        <v>42</v>
      </c>
      <c r="G181" s="244"/>
      <c r="H181" s="150"/>
    </row>
    <row r="182" spans="2:8" s="43" customFormat="1" x14ac:dyDescent="0.3">
      <c r="B182" s="40" t="s">
        <v>28</v>
      </c>
      <c r="C182" s="41">
        <v>12</v>
      </c>
      <c r="D182" s="124" t="str">
        <f xml:space="preserve"> IF(C182="","",setValueToTime(C182))</f>
        <v>1h</v>
      </c>
      <c r="E182" s="42" t="s">
        <v>67</v>
      </c>
      <c r="F182" s="245"/>
      <c r="G182" s="246"/>
      <c r="H182" s="151"/>
    </row>
    <row r="183" spans="2:8" s="43" customFormat="1" x14ac:dyDescent="0.3">
      <c r="B183" s="44" t="s">
        <v>30</v>
      </c>
      <c r="C183" s="45">
        <v>33</v>
      </c>
      <c r="D183" s="125" t="str">
        <f t="shared" ref="D183" si="27" xml:space="preserve"> IF(C183="","",setValueToTime(C183))</f>
        <v>2h 45 min</v>
      </c>
      <c r="E183" s="183" t="s">
        <v>71</v>
      </c>
      <c r="F183" s="247"/>
      <c r="G183" s="248"/>
      <c r="H183" s="151"/>
    </row>
    <row r="184" spans="2:8" s="43" customFormat="1" ht="15" thickBot="1" x14ac:dyDescent="0.35">
      <c r="B184" s="44" t="s">
        <v>31</v>
      </c>
      <c r="C184" s="45">
        <v>3</v>
      </c>
      <c r="D184" s="125" t="str">
        <f t="shared" ref="D184" si="28" xml:space="preserve"> IF(C184="","",setValueToTime(C184))</f>
        <v xml:space="preserve"> 15 min</v>
      </c>
      <c r="E184" s="183" t="s">
        <v>79</v>
      </c>
      <c r="F184" s="247"/>
      <c r="G184" s="248"/>
      <c r="H184" s="151"/>
    </row>
    <row r="185" spans="2:8" s="43" customFormat="1" ht="15" thickBot="1" x14ac:dyDescent="0.35">
      <c r="B185" s="85" t="s">
        <v>44</v>
      </c>
      <c r="C185" s="67">
        <f>SUM(C182:C184)</f>
        <v>48</v>
      </c>
      <c r="D185" s="85" t="str">
        <f xml:space="preserve"> setValueToTime(C185)</f>
        <v>4h</v>
      </c>
      <c r="E185" s="94"/>
      <c r="F185" s="241"/>
      <c r="G185" s="242"/>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85:G85"/>
    <mergeCell ref="F86:G86"/>
    <mergeCell ref="F77:G77"/>
    <mergeCell ref="F91:G91"/>
    <mergeCell ref="F92:G92"/>
    <mergeCell ref="F83:G83"/>
    <mergeCell ref="F84:G84"/>
    <mergeCell ref="F97:G97"/>
    <mergeCell ref="F98:G98"/>
    <mergeCell ref="F89:G89"/>
    <mergeCell ref="F90:G90"/>
    <mergeCell ref="F95:G95"/>
    <mergeCell ref="F96:G96"/>
    <mergeCell ref="F72:G72"/>
    <mergeCell ref="F73:G73"/>
    <mergeCell ref="F74:G74"/>
    <mergeCell ref="F64:G64"/>
    <mergeCell ref="F65:G65"/>
    <mergeCell ref="F66:G66"/>
    <mergeCell ref="F78:G78"/>
    <mergeCell ref="F79:G79"/>
    <mergeCell ref="F80:G80"/>
    <mergeCell ref="F71:G71"/>
    <mergeCell ref="F55:G55"/>
    <mergeCell ref="F46:G46"/>
    <mergeCell ref="F47:G47"/>
    <mergeCell ref="F60:G60"/>
    <mergeCell ref="F61:G61"/>
    <mergeCell ref="F52:G52"/>
    <mergeCell ref="F53:G53"/>
    <mergeCell ref="F67:G67"/>
    <mergeCell ref="F68:G68"/>
    <mergeCell ref="F58:G58"/>
    <mergeCell ref="F59:G59"/>
    <mergeCell ref="F42:G42"/>
    <mergeCell ref="F43:G43"/>
    <mergeCell ref="F34:G34"/>
    <mergeCell ref="F35:G35"/>
    <mergeCell ref="F48:G48"/>
    <mergeCell ref="F49:G49"/>
    <mergeCell ref="F40:G40"/>
    <mergeCell ref="F41:G41"/>
    <mergeCell ref="F54:G54"/>
    <mergeCell ref="F37:G37"/>
    <mergeCell ref="F5:G5"/>
    <mergeCell ref="F6:G6"/>
    <mergeCell ref="F12:G12"/>
    <mergeCell ref="F13:G13"/>
    <mergeCell ref="F3:G3"/>
    <mergeCell ref="F4:G4"/>
    <mergeCell ref="F18:G18"/>
    <mergeCell ref="F19:G19"/>
    <mergeCell ref="F9:G9"/>
    <mergeCell ref="F10:G10"/>
    <mergeCell ref="F11:G11"/>
    <mergeCell ref="F24:G24"/>
    <mergeCell ref="F25:G25"/>
    <mergeCell ref="F16:G16"/>
    <mergeCell ref="F17:G17"/>
    <mergeCell ref="F30:G30"/>
    <mergeCell ref="F31:G31"/>
    <mergeCell ref="F22:G22"/>
    <mergeCell ref="F23:G23"/>
    <mergeCell ref="F36:G36"/>
    <mergeCell ref="F28:G28"/>
    <mergeCell ref="F29:G29"/>
  </mergeCells>
  <phoneticPr fontId="0" type="noConversion"/>
  <conditionalFormatting sqref="C185">
    <cfRule type="cellIs" dxfId="53" priority="31" operator="greaterThan">
      <formula>60</formula>
    </cfRule>
  </conditionalFormatting>
  <conditionalFormatting sqref="C178">
    <cfRule type="cellIs" dxfId="52" priority="30" operator="greaterThan">
      <formula>60</formula>
    </cfRule>
  </conditionalFormatting>
  <conditionalFormatting sqref="C170">
    <cfRule type="cellIs" dxfId="51" priority="29" operator="greaterThan">
      <formula>60</formula>
    </cfRule>
  </conditionalFormatting>
  <conditionalFormatting sqref="C162">
    <cfRule type="cellIs" dxfId="50" priority="28" operator="greaterThan">
      <formula>60</formula>
    </cfRule>
  </conditionalFormatting>
  <conditionalFormatting sqref="C154">
    <cfRule type="cellIs" dxfId="49" priority="27" operator="greaterThan">
      <formula>60</formula>
    </cfRule>
  </conditionalFormatting>
  <conditionalFormatting sqref="C144">
    <cfRule type="cellIs" dxfId="48" priority="26" operator="greaterThan">
      <formula>60</formula>
    </cfRule>
  </conditionalFormatting>
  <conditionalFormatting sqref="C137">
    <cfRule type="cellIs" dxfId="47" priority="25" operator="greaterThan">
      <formula>60</formula>
    </cfRule>
  </conditionalFormatting>
  <conditionalFormatting sqref="C130">
    <cfRule type="cellIs" dxfId="46" priority="24" operator="greaterThan">
      <formula>60</formula>
    </cfRule>
  </conditionalFormatting>
  <conditionalFormatting sqref="C123">
    <cfRule type="cellIs" dxfId="45" priority="23" operator="greaterThan">
      <formula>60</formula>
    </cfRule>
  </conditionalFormatting>
  <conditionalFormatting sqref="C116">
    <cfRule type="cellIs" dxfId="44" priority="22" operator="greaterThan">
      <formula>60</formula>
    </cfRule>
  </conditionalFormatting>
  <conditionalFormatting sqref="C110">
    <cfRule type="cellIs" dxfId="43" priority="21" operator="greaterThan">
      <formula>60</formula>
    </cfRule>
  </conditionalFormatting>
  <conditionalFormatting sqref="C104">
    <cfRule type="cellIs" dxfId="42" priority="20" operator="greaterThan">
      <formula>60</formula>
    </cfRule>
  </conditionalFormatting>
  <conditionalFormatting sqref="C98">
    <cfRule type="cellIs" dxfId="41" priority="19" operator="greaterThan">
      <formula>60</formula>
    </cfRule>
  </conditionalFormatting>
  <conditionalFormatting sqref="C92">
    <cfRule type="cellIs" dxfId="40" priority="18" operator="greaterThan">
      <formula>60</formula>
    </cfRule>
  </conditionalFormatting>
  <conditionalFormatting sqref="C86">
    <cfRule type="cellIs" dxfId="39" priority="17" operator="greaterThan">
      <formula>60</formula>
    </cfRule>
  </conditionalFormatting>
  <conditionalFormatting sqref="C80">
    <cfRule type="cellIs" dxfId="38" priority="16" operator="greaterThan">
      <formula>60</formula>
    </cfRule>
  </conditionalFormatting>
  <conditionalFormatting sqref="C74">
    <cfRule type="cellIs" dxfId="37" priority="15" operator="greaterThan">
      <formula>60</formula>
    </cfRule>
  </conditionalFormatting>
  <conditionalFormatting sqref="C68">
    <cfRule type="cellIs" dxfId="36" priority="14" operator="greaterThan">
      <formula>60</formula>
    </cfRule>
  </conditionalFormatting>
  <conditionalFormatting sqref="C61">
    <cfRule type="cellIs" dxfId="35" priority="13" operator="greaterThan">
      <formula>60</formula>
    </cfRule>
  </conditionalFormatting>
  <conditionalFormatting sqref="C55">
    <cfRule type="cellIs" dxfId="34" priority="12" operator="greaterThan">
      <formula>60</formula>
    </cfRule>
  </conditionalFormatting>
  <conditionalFormatting sqref="C49">
    <cfRule type="cellIs" dxfId="33" priority="11" operator="greaterThan">
      <formula>60</formula>
    </cfRule>
  </conditionalFormatting>
  <conditionalFormatting sqref="C43">
    <cfRule type="cellIs" dxfId="32" priority="10" operator="greaterThan">
      <formula>60</formula>
    </cfRule>
  </conditionalFormatting>
  <conditionalFormatting sqref="C37">
    <cfRule type="cellIs" dxfId="31" priority="9" operator="greaterThan">
      <formula>60</formula>
    </cfRule>
  </conditionalFormatting>
  <conditionalFormatting sqref="C31">
    <cfRule type="cellIs" dxfId="30" priority="8" operator="greaterThan">
      <formula>60</formula>
    </cfRule>
  </conditionalFormatting>
  <conditionalFormatting sqref="C25">
    <cfRule type="cellIs" dxfId="29" priority="7" operator="greaterThan">
      <formula>60</formula>
    </cfRule>
  </conditionalFormatting>
  <conditionalFormatting sqref="C19">
    <cfRule type="cellIs" dxfId="28" priority="6" operator="greaterThan">
      <formula>60</formula>
    </cfRule>
  </conditionalFormatting>
  <conditionalFormatting sqref="C13">
    <cfRule type="cellIs" dxfId="27" priority="5" operator="greaterThan">
      <formula>60</formula>
    </cfRule>
  </conditionalFormatting>
  <conditionalFormatting sqref="C6">
    <cfRule type="cellIs" dxfId="26"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38"/>
  <sheetViews>
    <sheetView showGridLines="0" tabSelected="1" zoomScaleNormal="100" zoomScaleSheetLayoutView="98" workbookViewId="0">
      <pane ySplit="1" topLeftCell="A2"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24</v>
      </c>
      <c r="D2" s="136"/>
      <c r="E2" s="129" t="s">
        <v>38</v>
      </c>
      <c r="F2" s="130" t="s">
        <v>110</v>
      </c>
      <c r="G2" s="131" t="s">
        <v>68</v>
      </c>
      <c r="H2" s="150"/>
    </row>
    <row r="3" spans="2:8" s="39" customFormat="1" ht="30" customHeight="1" thickBot="1" x14ac:dyDescent="0.3">
      <c r="B3" s="61" t="s">
        <v>39</v>
      </c>
      <c r="C3" s="133" t="s">
        <v>40</v>
      </c>
      <c r="D3" s="132"/>
      <c r="E3" s="61" t="s">
        <v>41</v>
      </c>
      <c r="F3" s="253" t="s">
        <v>42</v>
      </c>
      <c r="G3" s="254"/>
      <c r="H3" s="150"/>
    </row>
    <row r="4" spans="2:8" s="43" customFormat="1" ht="40.5" x14ac:dyDescent="0.3">
      <c r="B4" s="40" t="s">
        <v>60</v>
      </c>
      <c r="C4" s="41">
        <v>12</v>
      </c>
      <c r="D4" s="124" t="str">
        <f xml:space="preserve"> IF(C4="","",setValueToTime(C4))</f>
        <v>1h</v>
      </c>
      <c r="E4" s="42" t="s">
        <v>299</v>
      </c>
      <c r="F4" s="245"/>
      <c r="G4" s="246"/>
      <c r="H4" s="151"/>
    </row>
    <row r="5" spans="2:8" s="43" customFormat="1" ht="40.5" x14ac:dyDescent="0.3">
      <c r="B5" s="44" t="s">
        <v>58</v>
      </c>
      <c r="C5" s="45">
        <v>1</v>
      </c>
      <c r="D5" s="125" t="str">
        <f t="shared" ref="D5:D8" si="0" xml:space="preserve"> IF(C5="","",setValueToTime(C5))</f>
        <v xml:space="preserve"> 5 min</v>
      </c>
      <c r="E5" s="46" t="s">
        <v>300</v>
      </c>
      <c r="F5" s="247"/>
      <c r="G5" s="248"/>
      <c r="H5" s="151"/>
    </row>
    <row r="6" spans="2:8" s="43" customFormat="1" ht="40.5" x14ac:dyDescent="0.3">
      <c r="B6" s="44" t="s">
        <v>60</v>
      </c>
      <c r="C6" s="45">
        <v>6</v>
      </c>
      <c r="D6" s="125" t="str">
        <f t="shared" ref="D6" si="1" xml:space="preserve"> IF(C6="","",setValueToTime(C6))</f>
        <v xml:space="preserve"> 30 min</v>
      </c>
      <c r="E6" s="46" t="s">
        <v>301</v>
      </c>
      <c r="F6" s="247"/>
      <c r="G6" s="248"/>
      <c r="H6" s="151"/>
    </row>
    <row r="7" spans="2:8" s="43" customFormat="1" ht="40.5" x14ac:dyDescent="0.3">
      <c r="B7" s="44" t="s">
        <v>60</v>
      </c>
      <c r="C7" s="45">
        <v>5</v>
      </c>
      <c r="D7" s="125" t="str">
        <f t="shared" si="0"/>
        <v xml:space="preserve"> 25 min</v>
      </c>
      <c r="E7" s="46" t="s">
        <v>302</v>
      </c>
      <c r="F7" s="247"/>
      <c r="G7" s="248"/>
      <c r="H7" s="151"/>
    </row>
    <row r="8" spans="2:8" s="43" customFormat="1" ht="41.25" thickBot="1" x14ac:dyDescent="0.35">
      <c r="B8" s="47" t="s">
        <v>31</v>
      </c>
      <c r="C8" s="47">
        <v>2</v>
      </c>
      <c r="D8" s="127" t="str">
        <f t="shared" si="0"/>
        <v xml:space="preserve"> 10 min</v>
      </c>
      <c r="E8" s="48" t="s">
        <v>289</v>
      </c>
      <c r="F8" s="239"/>
      <c r="G8" s="240"/>
      <c r="H8" s="151"/>
    </row>
    <row r="9" spans="2:8" s="43" customFormat="1" ht="15" thickBot="1" x14ac:dyDescent="0.35">
      <c r="B9" s="134" t="s">
        <v>44</v>
      </c>
      <c r="C9" s="66">
        <f>SUM(C4:C8)</f>
        <v>26</v>
      </c>
      <c r="D9" s="134" t="str">
        <f xml:space="preserve"> setValueToTime(C9)</f>
        <v>2h 10 min</v>
      </c>
      <c r="E9" s="95"/>
      <c r="F9" s="251"/>
      <c r="G9" s="252"/>
      <c r="H9" s="151"/>
    </row>
    <row r="10" spans="2:8" s="43" customFormat="1" ht="15" thickBot="1" x14ac:dyDescent="0.35">
      <c r="B10" s="60"/>
      <c r="C10" s="60"/>
      <c r="D10" s="60"/>
      <c r="E10" s="60"/>
      <c r="F10" s="60"/>
      <c r="G10" s="60"/>
      <c r="H10" s="151"/>
    </row>
    <row r="11" spans="2:8" s="39" customFormat="1" ht="30" customHeight="1" thickBot="1" x14ac:dyDescent="0.3">
      <c r="B11" s="128" t="s">
        <v>37</v>
      </c>
      <c r="C11" s="136">
        <v>23</v>
      </c>
      <c r="D11" s="136"/>
      <c r="E11" s="129" t="s">
        <v>38</v>
      </c>
      <c r="F11" s="130" t="s">
        <v>110</v>
      </c>
      <c r="G11" s="131" t="s">
        <v>66</v>
      </c>
      <c r="H11" s="150"/>
    </row>
    <row r="12" spans="2:8" s="39" customFormat="1" ht="30" customHeight="1" thickBot="1" x14ac:dyDescent="0.3">
      <c r="B12" s="61" t="s">
        <v>39</v>
      </c>
      <c r="C12" s="133" t="s">
        <v>40</v>
      </c>
      <c r="D12" s="132"/>
      <c r="E12" s="61" t="s">
        <v>41</v>
      </c>
      <c r="F12" s="253" t="s">
        <v>42</v>
      </c>
      <c r="G12" s="254"/>
      <c r="H12" s="150"/>
    </row>
    <row r="13" spans="2:8" s="43" customFormat="1" ht="40.5" x14ac:dyDescent="0.3">
      <c r="B13" s="40" t="s">
        <v>60</v>
      </c>
      <c r="C13" s="41">
        <v>12</v>
      </c>
      <c r="D13" s="124" t="str">
        <f xml:space="preserve"> IF(C13="","",setValueToTime(C13))</f>
        <v>1h</v>
      </c>
      <c r="E13" s="42" t="s">
        <v>294</v>
      </c>
      <c r="F13" s="255"/>
      <c r="G13" s="256"/>
      <c r="H13" s="151"/>
    </row>
    <row r="14" spans="2:8" s="43" customFormat="1" ht="40.5" x14ac:dyDescent="0.3">
      <c r="B14" s="44" t="s">
        <v>60</v>
      </c>
      <c r="C14" s="45">
        <v>12</v>
      </c>
      <c r="D14" s="125" t="str">
        <f t="shared" ref="D14:D16" si="2" xml:space="preserve"> IF(C14="","",setValueToTime(C14))</f>
        <v>1h</v>
      </c>
      <c r="E14" s="46" t="s">
        <v>297</v>
      </c>
      <c r="F14" s="257" t="s">
        <v>298</v>
      </c>
      <c r="G14" s="258"/>
      <c r="H14" s="151"/>
    </row>
    <row r="15" spans="2:8" s="43" customFormat="1" ht="40.5" x14ac:dyDescent="0.3">
      <c r="B15" s="44" t="s">
        <v>60</v>
      </c>
      <c r="C15" s="45">
        <v>12</v>
      </c>
      <c r="D15" s="125" t="str">
        <f t="shared" si="2"/>
        <v>1h</v>
      </c>
      <c r="E15" s="46" t="s">
        <v>296</v>
      </c>
      <c r="F15" s="259" t="s">
        <v>295</v>
      </c>
      <c r="G15" s="260"/>
      <c r="H15" s="151"/>
    </row>
    <row r="16" spans="2:8" s="43" customFormat="1" ht="27.75" thickBot="1" x14ac:dyDescent="0.35">
      <c r="B16" s="47" t="s">
        <v>31</v>
      </c>
      <c r="C16" s="47">
        <v>2</v>
      </c>
      <c r="D16" s="127" t="str">
        <f t="shared" si="2"/>
        <v xml:space="preserve"> 10 min</v>
      </c>
      <c r="E16" s="48" t="s">
        <v>204</v>
      </c>
      <c r="F16" s="261"/>
      <c r="G16" s="262"/>
      <c r="H16" s="151"/>
    </row>
    <row r="17" spans="2:8" s="43" customFormat="1" ht="15" thickBot="1" x14ac:dyDescent="0.35">
      <c r="B17" s="134" t="s">
        <v>44</v>
      </c>
      <c r="C17" s="66">
        <f>SUM(C13:C16)</f>
        <v>38</v>
      </c>
      <c r="D17" s="134" t="str">
        <f xml:space="preserve"> setValueToTime(C17)</f>
        <v>3h 10 min</v>
      </c>
      <c r="E17" s="95"/>
      <c r="F17" s="251"/>
      <c r="G17" s="252"/>
      <c r="H17" s="151"/>
    </row>
    <row r="18" spans="2:8" s="43" customFormat="1" ht="15" thickBot="1" x14ac:dyDescent="0.35">
      <c r="B18" s="60"/>
      <c r="C18" s="60"/>
      <c r="D18" s="60"/>
      <c r="E18" s="60"/>
      <c r="F18" s="60"/>
      <c r="G18" s="60"/>
      <c r="H18" s="151"/>
    </row>
    <row r="19" spans="2:8" s="39" customFormat="1" ht="30" customHeight="1" thickBot="1" x14ac:dyDescent="0.3">
      <c r="B19" s="128" t="s">
        <v>37</v>
      </c>
      <c r="C19" s="136">
        <v>22</v>
      </c>
      <c r="D19" s="136"/>
      <c r="E19" s="129" t="s">
        <v>38</v>
      </c>
      <c r="F19" s="130" t="s">
        <v>113</v>
      </c>
      <c r="G19" s="131" t="s">
        <v>68</v>
      </c>
      <c r="H19" s="150"/>
    </row>
    <row r="20" spans="2:8" s="39" customFormat="1" ht="30" customHeight="1" thickBot="1" x14ac:dyDescent="0.3">
      <c r="B20" s="61" t="s">
        <v>39</v>
      </c>
      <c r="C20" s="133" t="s">
        <v>40</v>
      </c>
      <c r="D20" s="132"/>
      <c r="E20" s="61" t="s">
        <v>41</v>
      </c>
      <c r="F20" s="253" t="s">
        <v>42</v>
      </c>
      <c r="G20" s="254"/>
      <c r="H20" s="150"/>
    </row>
    <row r="21" spans="2:8" s="43" customFormat="1" ht="54" x14ac:dyDescent="0.3">
      <c r="B21" s="40" t="s">
        <v>72</v>
      </c>
      <c r="C21" s="41">
        <v>12</v>
      </c>
      <c r="D21" s="124" t="str">
        <f xml:space="preserve"> IF(C21="","",setValueToTime(C21))</f>
        <v>1h</v>
      </c>
      <c r="E21" s="42" t="s">
        <v>293</v>
      </c>
      <c r="F21" s="255"/>
      <c r="G21" s="256"/>
      <c r="H21" s="151"/>
    </row>
    <row r="22" spans="2:8" s="43" customFormat="1" ht="54" x14ac:dyDescent="0.3">
      <c r="B22" s="44" t="s">
        <v>60</v>
      </c>
      <c r="C22" s="45">
        <v>12</v>
      </c>
      <c r="D22" s="125" t="str">
        <f t="shared" ref="D22:D24" si="3" xml:space="preserve"> IF(C22="","",setValueToTime(C22))</f>
        <v>1h</v>
      </c>
      <c r="E22" s="46" t="s">
        <v>290</v>
      </c>
      <c r="F22" s="263"/>
      <c r="G22" s="260"/>
      <c r="H22" s="151"/>
    </row>
    <row r="23" spans="2:8" s="43" customFormat="1" ht="46.5" customHeight="1" x14ac:dyDescent="0.3">
      <c r="B23" s="44" t="s">
        <v>60</v>
      </c>
      <c r="C23" s="45">
        <v>11</v>
      </c>
      <c r="D23" s="125" t="str">
        <f t="shared" si="3"/>
        <v xml:space="preserve"> 55 min</v>
      </c>
      <c r="E23" s="46" t="s">
        <v>292</v>
      </c>
      <c r="F23" s="259" t="s">
        <v>291</v>
      </c>
      <c r="G23" s="260"/>
      <c r="H23" s="151"/>
    </row>
    <row r="24" spans="2:8" s="43" customFormat="1" ht="41.25" thickBot="1" x14ac:dyDescent="0.35">
      <c r="B24" s="47" t="s">
        <v>31</v>
      </c>
      <c r="C24" s="47">
        <v>3</v>
      </c>
      <c r="D24" s="127" t="str">
        <f t="shared" si="3"/>
        <v xml:space="preserve"> 15 min</v>
      </c>
      <c r="E24" s="48" t="s">
        <v>289</v>
      </c>
      <c r="F24" s="261"/>
      <c r="G24" s="262"/>
      <c r="H24" s="151"/>
    </row>
    <row r="25" spans="2:8" s="43" customFormat="1" ht="15" thickBot="1" x14ac:dyDescent="0.35">
      <c r="B25" s="134" t="s">
        <v>44</v>
      </c>
      <c r="C25" s="66">
        <f>SUM(C21:C24)</f>
        <v>38</v>
      </c>
      <c r="D25" s="134" t="str">
        <f xml:space="preserve"> setValueToTime(C25)</f>
        <v>3h 10 min</v>
      </c>
      <c r="E25" s="95"/>
      <c r="F25" s="251"/>
      <c r="G25" s="252"/>
      <c r="H25" s="151"/>
    </row>
    <row r="26" spans="2:8" s="43" customFormat="1" ht="15" thickBot="1" x14ac:dyDescent="0.35">
      <c r="B26" s="60"/>
      <c r="C26" s="60"/>
      <c r="D26" s="60"/>
      <c r="E26" s="60"/>
      <c r="F26" s="60"/>
      <c r="G26" s="60"/>
      <c r="H26" s="151"/>
    </row>
    <row r="27" spans="2:8" s="39" customFormat="1" ht="30" customHeight="1" thickBot="1" x14ac:dyDescent="0.3">
      <c r="B27" s="128" t="s">
        <v>37</v>
      </c>
      <c r="C27" s="136">
        <v>21</v>
      </c>
      <c r="D27" s="136"/>
      <c r="E27" s="129" t="s">
        <v>38</v>
      </c>
      <c r="F27" s="130" t="s">
        <v>113</v>
      </c>
      <c r="G27" s="131" t="s">
        <v>66</v>
      </c>
      <c r="H27" s="150"/>
    </row>
    <row r="28" spans="2:8" s="39" customFormat="1" ht="30" customHeight="1" thickBot="1" x14ac:dyDescent="0.3">
      <c r="B28" s="61" t="s">
        <v>39</v>
      </c>
      <c r="C28" s="133" t="s">
        <v>40</v>
      </c>
      <c r="D28" s="132"/>
      <c r="E28" s="61" t="s">
        <v>41</v>
      </c>
      <c r="F28" s="253" t="s">
        <v>42</v>
      </c>
      <c r="G28" s="254"/>
      <c r="H28" s="150"/>
    </row>
    <row r="29" spans="2:8" s="43" customFormat="1" ht="27" x14ac:dyDescent="0.3">
      <c r="B29" s="40" t="s">
        <v>55</v>
      </c>
      <c r="C29" s="41">
        <v>6</v>
      </c>
      <c r="D29" s="124" t="str">
        <f xml:space="preserve"> IF(C29="","",setValueToTime(C29))</f>
        <v xml:space="preserve"> 30 min</v>
      </c>
      <c r="E29" s="42" t="s">
        <v>283</v>
      </c>
      <c r="F29" s="264" t="s">
        <v>284</v>
      </c>
      <c r="G29" s="256"/>
      <c r="H29" s="151"/>
    </row>
    <row r="30" spans="2:8" s="43" customFormat="1" ht="54" x14ac:dyDescent="0.3">
      <c r="B30" s="44" t="s">
        <v>72</v>
      </c>
      <c r="C30" s="45">
        <v>12</v>
      </c>
      <c r="D30" s="125" t="str">
        <f t="shared" ref="D30:D34" si="4" xml:space="preserve"> IF(C30="","",setValueToTime(C30))</f>
        <v>1h</v>
      </c>
      <c r="E30" s="46" t="s">
        <v>285</v>
      </c>
      <c r="F30" s="263"/>
      <c r="G30" s="260"/>
      <c r="H30" s="151"/>
    </row>
    <row r="31" spans="2:8" s="43" customFormat="1" ht="54" x14ac:dyDescent="0.3">
      <c r="B31" s="44" t="s">
        <v>72</v>
      </c>
      <c r="C31" s="45">
        <v>12</v>
      </c>
      <c r="D31" s="125" t="str">
        <f t="shared" si="4"/>
        <v>1h</v>
      </c>
      <c r="E31" s="46" t="s">
        <v>288</v>
      </c>
      <c r="F31" s="263"/>
      <c r="G31" s="260"/>
      <c r="H31" s="151"/>
    </row>
    <row r="32" spans="2:8" s="43" customFormat="1" ht="54" x14ac:dyDescent="0.3">
      <c r="B32" s="44" t="s">
        <v>72</v>
      </c>
      <c r="C32" s="45">
        <v>10</v>
      </c>
      <c r="D32" s="125" t="str">
        <f t="shared" si="4"/>
        <v xml:space="preserve"> 50 min</v>
      </c>
      <c r="E32" s="200" t="s">
        <v>287</v>
      </c>
      <c r="F32" s="263"/>
      <c r="G32" s="260"/>
      <c r="H32" s="151"/>
    </row>
    <row r="33" spans="2:8" s="43" customFormat="1" ht="54" x14ac:dyDescent="0.3">
      <c r="B33" s="45" t="s">
        <v>72</v>
      </c>
      <c r="C33" s="45">
        <v>5</v>
      </c>
      <c r="D33" s="126" t="str">
        <f t="shared" si="4"/>
        <v xml:space="preserve"> 25 min</v>
      </c>
      <c r="E33" s="200" t="s">
        <v>286</v>
      </c>
      <c r="F33" s="263"/>
      <c r="G33" s="260"/>
      <c r="H33" s="151"/>
    </row>
    <row r="34" spans="2:8" s="43" customFormat="1" ht="27.75" thickBot="1" x14ac:dyDescent="0.35">
      <c r="B34" s="47" t="s">
        <v>31</v>
      </c>
      <c r="C34" s="47">
        <v>3</v>
      </c>
      <c r="D34" s="127" t="str">
        <f t="shared" si="4"/>
        <v xml:space="preserve"> 15 min</v>
      </c>
      <c r="E34" s="48" t="s">
        <v>154</v>
      </c>
      <c r="F34" s="261"/>
      <c r="G34" s="262"/>
      <c r="H34" s="151"/>
    </row>
    <row r="35" spans="2:8" s="43" customFormat="1" ht="15" thickBot="1" x14ac:dyDescent="0.35">
      <c r="B35" s="134" t="s">
        <v>44</v>
      </c>
      <c r="C35" s="66">
        <f>SUM(C29:C34)</f>
        <v>48</v>
      </c>
      <c r="D35" s="134" t="str">
        <f xml:space="preserve"> setValueToTime(C35)</f>
        <v>4h</v>
      </c>
      <c r="E35" s="95"/>
      <c r="F35" s="251"/>
      <c r="G35" s="252"/>
      <c r="H35" s="151"/>
    </row>
    <row r="36" spans="2:8" s="43" customFormat="1" ht="15" thickBot="1" x14ac:dyDescent="0.35">
      <c r="B36" s="60"/>
      <c r="C36" s="60"/>
      <c r="D36" s="60"/>
      <c r="E36" s="60"/>
      <c r="F36" s="60"/>
      <c r="G36" s="60"/>
      <c r="H36" s="151"/>
    </row>
    <row r="37" spans="2:8" s="39" customFormat="1" ht="30" customHeight="1" thickBot="1" x14ac:dyDescent="0.3">
      <c r="B37" s="128" t="s">
        <v>37</v>
      </c>
      <c r="C37" s="136">
        <v>20</v>
      </c>
      <c r="D37" s="136"/>
      <c r="E37" s="129" t="s">
        <v>38</v>
      </c>
      <c r="F37" s="130" t="s">
        <v>116</v>
      </c>
      <c r="G37" s="131" t="s">
        <v>68</v>
      </c>
      <c r="H37" s="150"/>
    </row>
    <row r="38" spans="2:8" s="39" customFormat="1" ht="30" customHeight="1" thickBot="1" x14ac:dyDescent="0.3">
      <c r="B38" s="61" t="s">
        <v>39</v>
      </c>
      <c r="C38" s="133" t="s">
        <v>40</v>
      </c>
      <c r="D38" s="132"/>
      <c r="E38" s="61" t="s">
        <v>41</v>
      </c>
      <c r="F38" s="253" t="s">
        <v>42</v>
      </c>
      <c r="G38" s="254"/>
      <c r="H38" s="150"/>
    </row>
    <row r="39" spans="2:8" s="43" customFormat="1" ht="27" x14ac:dyDescent="0.3">
      <c r="B39" s="40" t="s">
        <v>32</v>
      </c>
      <c r="C39" s="41">
        <v>8</v>
      </c>
      <c r="D39" s="124" t="str">
        <f xml:space="preserve"> IF(C39="","",setValueToTime(C39))</f>
        <v xml:space="preserve"> 40 min</v>
      </c>
      <c r="E39" s="42" t="s">
        <v>282</v>
      </c>
      <c r="F39" s="255"/>
      <c r="G39" s="256"/>
      <c r="H39" s="151"/>
    </row>
    <row r="40" spans="2:8" s="43" customFormat="1" ht="54" x14ac:dyDescent="0.3">
      <c r="B40" s="44" t="s">
        <v>34</v>
      </c>
      <c r="C40" s="45">
        <v>12</v>
      </c>
      <c r="D40" s="125" t="str">
        <f t="shared" ref="D40:D43" si="5" xml:space="preserve"> IF(C40="","",setValueToTime(C40))</f>
        <v>1h</v>
      </c>
      <c r="E40" s="46" t="s">
        <v>279</v>
      </c>
      <c r="F40" s="259" t="s">
        <v>277</v>
      </c>
      <c r="G40" s="260"/>
      <c r="H40" s="151"/>
    </row>
    <row r="41" spans="2:8" s="43" customFormat="1" ht="59.25" customHeight="1" x14ac:dyDescent="0.3">
      <c r="B41" s="44" t="s">
        <v>34</v>
      </c>
      <c r="C41" s="45">
        <v>12</v>
      </c>
      <c r="D41" s="125" t="str">
        <f t="shared" si="5"/>
        <v>1h</v>
      </c>
      <c r="E41" s="46" t="s">
        <v>281</v>
      </c>
      <c r="F41" s="265" t="s">
        <v>278</v>
      </c>
      <c r="G41" s="260"/>
      <c r="H41" s="151"/>
    </row>
    <row r="42" spans="2:8" s="43" customFormat="1" x14ac:dyDescent="0.3">
      <c r="B42" s="44" t="s">
        <v>34</v>
      </c>
      <c r="C42" s="45">
        <v>3</v>
      </c>
      <c r="D42" s="125" t="str">
        <f t="shared" si="5"/>
        <v xml:space="preserve"> 15 min</v>
      </c>
      <c r="E42" s="46" t="s">
        <v>280</v>
      </c>
      <c r="F42" s="263"/>
      <c r="G42" s="260"/>
      <c r="H42" s="151"/>
    </row>
    <row r="43" spans="2:8" s="43" customFormat="1" ht="27.75" thickBot="1" x14ac:dyDescent="0.35">
      <c r="B43" s="47" t="s">
        <v>31</v>
      </c>
      <c r="C43" s="47">
        <v>3</v>
      </c>
      <c r="D43" s="127" t="str">
        <f t="shared" si="5"/>
        <v xml:space="preserve"> 15 min</v>
      </c>
      <c r="E43" s="48" t="s">
        <v>204</v>
      </c>
      <c r="F43" s="261"/>
      <c r="G43" s="262"/>
      <c r="H43" s="151"/>
    </row>
    <row r="44" spans="2:8" s="43" customFormat="1" ht="15" thickBot="1" x14ac:dyDescent="0.35">
      <c r="B44" s="134" t="s">
        <v>44</v>
      </c>
      <c r="C44" s="66">
        <f>SUM(C39:C43)</f>
        <v>38</v>
      </c>
      <c r="D44" s="134" t="str">
        <f xml:space="preserve"> setValueToTime(C44)</f>
        <v>3h 10 min</v>
      </c>
      <c r="E44" s="95"/>
      <c r="F44" s="251"/>
      <c r="G44" s="252"/>
      <c r="H44" s="151"/>
    </row>
    <row r="45" spans="2:8" s="43" customFormat="1" ht="15" thickBot="1" x14ac:dyDescent="0.35">
      <c r="B45" s="60"/>
      <c r="C45" s="60"/>
      <c r="D45" s="60"/>
      <c r="E45" s="60"/>
      <c r="F45" s="60"/>
      <c r="G45" s="60"/>
      <c r="H45" s="151"/>
    </row>
    <row r="46" spans="2:8" s="39" customFormat="1" ht="30" customHeight="1" thickBot="1" x14ac:dyDescent="0.3">
      <c r="B46" s="128" t="s">
        <v>37</v>
      </c>
      <c r="C46" s="136">
        <v>19</v>
      </c>
      <c r="D46" s="136"/>
      <c r="E46" s="129" t="s">
        <v>38</v>
      </c>
      <c r="F46" s="130" t="s">
        <v>116</v>
      </c>
      <c r="G46" s="131" t="s">
        <v>66</v>
      </c>
      <c r="H46" s="150"/>
    </row>
    <row r="47" spans="2:8" s="39" customFormat="1" ht="30" customHeight="1" thickBot="1" x14ac:dyDescent="0.3">
      <c r="B47" s="61" t="s">
        <v>39</v>
      </c>
      <c r="C47" s="133" t="s">
        <v>40</v>
      </c>
      <c r="D47" s="132"/>
      <c r="E47" s="61" t="s">
        <v>41</v>
      </c>
      <c r="F47" s="253" t="s">
        <v>42</v>
      </c>
      <c r="G47" s="254"/>
      <c r="H47" s="150"/>
    </row>
    <row r="48" spans="2:8" s="43" customFormat="1" x14ac:dyDescent="0.3">
      <c r="B48" s="40" t="s">
        <v>32</v>
      </c>
      <c r="C48" s="41">
        <v>12</v>
      </c>
      <c r="D48" s="124" t="str">
        <f xml:space="preserve"> IF(C48="","",setValueToTime(C48))</f>
        <v>1h</v>
      </c>
      <c r="E48" s="42" t="s">
        <v>272</v>
      </c>
      <c r="F48" s="255"/>
      <c r="G48" s="256"/>
      <c r="H48" s="151"/>
    </row>
    <row r="49" spans="2:8" s="43" customFormat="1" x14ac:dyDescent="0.3">
      <c r="B49" s="44" t="s">
        <v>32</v>
      </c>
      <c r="C49" s="45">
        <v>12</v>
      </c>
      <c r="D49" s="125" t="str">
        <f t="shared" ref="D49:D53" si="6" xml:space="preserve"> IF(C49="","",setValueToTime(C49))</f>
        <v>1h</v>
      </c>
      <c r="E49" s="46" t="s">
        <v>273</v>
      </c>
      <c r="F49" s="263"/>
      <c r="G49" s="260"/>
      <c r="H49" s="151"/>
    </row>
    <row r="50" spans="2:8" s="43" customFormat="1" x14ac:dyDescent="0.3">
      <c r="B50" s="44" t="s">
        <v>32</v>
      </c>
      <c r="C50" s="45">
        <v>12</v>
      </c>
      <c r="D50" s="125" t="str">
        <f t="shared" si="6"/>
        <v>1h</v>
      </c>
      <c r="E50" s="46" t="s">
        <v>274</v>
      </c>
      <c r="F50" s="263"/>
      <c r="G50" s="260"/>
      <c r="H50" s="151"/>
    </row>
    <row r="51" spans="2:8" s="43" customFormat="1" x14ac:dyDescent="0.3">
      <c r="B51" s="44" t="s">
        <v>32</v>
      </c>
      <c r="C51" s="45">
        <v>2</v>
      </c>
      <c r="D51" s="125" t="str">
        <f t="shared" ref="D51" si="7" xml:space="preserve"> IF(C51="","",setValueToTime(C51))</f>
        <v xml:space="preserve"> 10 min</v>
      </c>
      <c r="E51" s="46" t="s">
        <v>161</v>
      </c>
      <c r="F51" s="263"/>
      <c r="G51" s="260"/>
      <c r="H51" s="151"/>
    </row>
    <row r="52" spans="2:8" s="43" customFormat="1" x14ac:dyDescent="0.3">
      <c r="B52" s="44" t="s">
        <v>32</v>
      </c>
      <c r="C52" s="45">
        <v>8</v>
      </c>
      <c r="D52" s="125" t="str">
        <f t="shared" si="6"/>
        <v xml:space="preserve"> 40 min</v>
      </c>
      <c r="E52" s="46" t="s">
        <v>276</v>
      </c>
      <c r="F52" s="263"/>
      <c r="G52" s="260"/>
      <c r="H52" s="151"/>
    </row>
    <row r="53" spans="2:8" s="43" customFormat="1" ht="27.75" thickBot="1" x14ac:dyDescent="0.35">
      <c r="B53" s="47" t="s">
        <v>31</v>
      </c>
      <c r="C53" s="47">
        <v>2</v>
      </c>
      <c r="D53" s="127" t="str">
        <f t="shared" si="6"/>
        <v xml:space="preserve"> 10 min</v>
      </c>
      <c r="E53" s="48" t="s">
        <v>154</v>
      </c>
      <c r="F53" s="261"/>
      <c r="G53" s="262"/>
      <c r="H53" s="151"/>
    </row>
    <row r="54" spans="2:8" s="43" customFormat="1" ht="15" thickBot="1" x14ac:dyDescent="0.35">
      <c r="B54" s="134" t="s">
        <v>44</v>
      </c>
      <c r="C54" s="66">
        <f>SUM(C48:C53)</f>
        <v>48</v>
      </c>
      <c r="D54" s="134" t="str">
        <f xml:space="preserve"> setValueToTime(C54)</f>
        <v>4h</v>
      </c>
      <c r="E54" s="95"/>
      <c r="F54" s="251"/>
      <c r="G54" s="252"/>
      <c r="H54" s="151"/>
    </row>
    <row r="55" spans="2:8" s="43" customFormat="1" ht="15" thickBot="1" x14ac:dyDescent="0.35">
      <c r="B55" s="60"/>
      <c r="C55" s="60"/>
      <c r="D55" s="60"/>
      <c r="E55" s="60"/>
      <c r="F55" s="60"/>
      <c r="G55" s="60"/>
      <c r="H55" s="151"/>
    </row>
    <row r="56" spans="2:8" s="39" customFormat="1" ht="30" customHeight="1" thickBot="1" x14ac:dyDescent="0.3">
      <c r="B56" s="128" t="s">
        <v>37</v>
      </c>
      <c r="C56" s="136">
        <v>18</v>
      </c>
      <c r="D56" s="136"/>
      <c r="E56" s="129" t="s">
        <v>38</v>
      </c>
      <c r="F56" s="130" t="s">
        <v>119</v>
      </c>
      <c r="G56" s="131" t="s">
        <v>66</v>
      </c>
      <c r="H56" s="150"/>
    </row>
    <row r="57" spans="2:8" s="39" customFormat="1" ht="30" customHeight="1" thickBot="1" x14ac:dyDescent="0.3">
      <c r="B57" s="61" t="s">
        <v>39</v>
      </c>
      <c r="C57" s="133" t="s">
        <v>40</v>
      </c>
      <c r="D57" s="132"/>
      <c r="E57" s="61" t="s">
        <v>41</v>
      </c>
      <c r="F57" s="253" t="s">
        <v>42</v>
      </c>
      <c r="G57" s="254"/>
      <c r="H57" s="150"/>
    </row>
    <row r="58" spans="2:8" s="43" customFormat="1" ht="54" x14ac:dyDescent="0.3">
      <c r="B58" s="40" t="s">
        <v>28</v>
      </c>
      <c r="C58" s="41">
        <v>12</v>
      </c>
      <c r="D58" s="124" t="str">
        <f xml:space="preserve"> IF(C58="","",setValueToTime(C58))</f>
        <v>1h</v>
      </c>
      <c r="E58" s="42" t="s">
        <v>271</v>
      </c>
      <c r="F58" s="255"/>
      <c r="G58" s="256"/>
      <c r="H58" s="151"/>
    </row>
    <row r="59" spans="2:8" s="43" customFormat="1" ht="27" x14ac:dyDescent="0.3">
      <c r="B59" s="44" t="s">
        <v>32</v>
      </c>
      <c r="C59" s="45">
        <v>12</v>
      </c>
      <c r="D59" s="125" t="str">
        <f t="shared" ref="D59:D61" si="8" xml:space="preserve"> IF(C59="","",setValueToTime(C59))</f>
        <v>1h</v>
      </c>
      <c r="E59" s="46" t="s">
        <v>269</v>
      </c>
      <c r="F59" s="263"/>
      <c r="G59" s="260"/>
      <c r="H59" s="151"/>
    </row>
    <row r="60" spans="2:8" s="43" customFormat="1" ht="27" x14ac:dyDescent="0.3">
      <c r="B60" s="44" t="s">
        <v>32</v>
      </c>
      <c r="C60" s="45">
        <v>11</v>
      </c>
      <c r="D60" s="125" t="str">
        <f t="shared" si="8"/>
        <v xml:space="preserve"> 55 min</v>
      </c>
      <c r="E60" s="46" t="s">
        <v>270</v>
      </c>
      <c r="F60" s="263"/>
      <c r="G60" s="260"/>
      <c r="H60" s="151"/>
    </row>
    <row r="61" spans="2:8" s="43" customFormat="1" ht="27.75" thickBot="1" x14ac:dyDescent="0.35">
      <c r="B61" s="47" t="s">
        <v>31</v>
      </c>
      <c r="C61" s="47">
        <v>3</v>
      </c>
      <c r="D61" s="127" t="str">
        <f t="shared" si="8"/>
        <v xml:space="preserve"> 15 min</v>
      </c>
      <c r="E61" s="48" t="s">
        <v>203</v>
      </c>
      <c r="F61" s="261"/>
      <c r="G61" s="262"/>
      <c r="H61" s="151"/>
    </row>
    <row r="62" spans="2:8" s="43" customFormat="1" ht="15" thickBot="1" x14ac:dyDescent="0.35">
      <c r="B62" s="134" t="s">
        <v>44</v>
      </c>
      <c r="C62" s="66">
        <f>SUM(C58:C61)</f>
        <v>38</v>
      </c>
      <c r="D62" s="134" t="str">
        <f xml:space="preserve"> setValueToTime(C62)</f>
        <v>3h 10 min</v>
      </c>
      <c r="E62" s="95"/>
      <c r="F62" s="251"/>
      <c r="G62" s="252"/>
      <c r="H62" s="151"/>
    </row>
    <row r="63" spans="2:8" s="43" customFormat="1" ht="15" thickBot="1" x14ac:dyDescent="0.35">
      <c r="B63" s="60"/>
      <c r="C63" s="60"/>
      <c r="D63" s="60"/>
      <c r="E63" s="60"/>
      <c r="F63" s="60"/>
      <c r="G63" s="60"/>
      <c r="H63" s="151"/>
    </row>
    <row r="64" spans="2:8" s="39" customFormat="1" ht="30" customHeight="1" thickBot="1" x14ac:dyDescent="0.3">
      <c r="B64" s="128" t="s">
        <v>37</v>
      </c>
      <c r="C64" s="136">
        <v>17</v>
      </c>
      <c r="D64" s="136"/>
      <c r="E64" s="129" t="s">
        <v>38</v>
      </c>
      <c r="F64" s="130" t="s">
        <v>121</v>
      </c>
      <c r="G64" s="131" t="s">
        <v>68</v>
      </c>
      <c r="H64" s="150"/>
    </row>
    <row r="65" spans="2:8" s="39" customFormat="1" ht="30" customHeight="1" thickBot="1" x14ac:dyDescent="0.3">
      <c r="B65" s="61" t="s">
        <v>39</v>
      </c>
      <c r="C65" s="133" t="s">
        <v>40</v>
      </c>
      <c r="D65" s="132"/>
      <c r="E65" s="61" t="s">
        <v>41</v>
      </c>
      <c r="F65" s="253" t="s">
        <v>42</v>
      </c>
      <c r="G65" s="254"/>
      <c r="H65" s="150"/>
    </row>
    <row r="66" spans="2:8" s="43" customFormat="1" x14ac:dyDescent="0.3">
      <c r="B66" s="40" t="s">
        <v>32</v>
      </c>
      <c r="C66" s="41">
        <v>3</v>
      </c>
      <c r="D66" s="124" t="str">
        <f xml:space="preserve"> IF(C66="","",setValueToTime(C66))</f>
        <v xml:space="preserve"> 15 min</v>
      </c>
      <c r="E66" s="182" t="s">
        <v>256</v>
      </c>
      <c r="F66" s="255"/>
      <c r="G66" s="256"/>
      <c r="H66" s="151"/>
    </row>
    <row r="67" spans="2:8" s="43" customFormat="1" ht="67.5" x14ac:dyDescent="0.3">
      <c r="B67" s="44" t="s">
        <v>28</v>
      </c>
      <c r="C67" s="45">
        <v>3</v>
      </c>
      <c r="D67" s="125" t="str">
        <f t="shared" ref="D67:D72" si="9" xml:space="preserve"> IF(C67="","",setValueToTime(C67))</f>
        <v xml:space="preserve"> 15 min</v>
      </c>
      <c r="E67" s="183" t="s">
        <v>265</v>
      </c>
      <c r="F67" s="263"/>
      <c r="G67" s="260"/>
      <c r="H67" s="151"/>
    </row>
    <row r="68" spans="2:8" s="43" customFormat="1" ht="27" x14ac:dyDescent="0.3">
      <c r="B68" s="44" t="s">
        <v>32</v>
      </c>
      <c r="C68" s="45">
        <v>12</v>
      </c>
      <c r="D68" s="125" t="str">
        <f t="shared" si="9"/>
        <v>1h</v>
      </c>
      <c r="E68" s="183" t="s">
        <v>257</v>
      </c>
      <c r="F68" s="263"/>
      <c r="G68" s="260"/>
      <c r="H68" s="151"/>
    </row>
    <row r="69" spans="2:8" s="43" customFormat="1" ht="40.5" x14ac:dyDescent="0.3">
      <c r="B69" s="44" t="s">
        <v>32</v>
      </c>
      <c r="C69" s="45">
        <v>5</v>
      </c>
      <c r="D69" s="125" t="str">
        <f t="shared" si="9"/>
        <v xml:space="preserve"> 25 min</v>
      </c>
      <c r="E69" s="183" t="s">
        <v>259</v>
      </c>
      <c r="F69" s="263"/>
      <c r="G69" s="260"/>
      <c r="H69" s="151"/>
    </row>
    <row r="70" spans="2:8" s="43" customFormat="1" ht="27" x14ac:dyDescent="0.3">
      <c r="B70" s="45" t="s">
        <v>50</v>
      </c>
      <c r="C70" s="45">
        <v>8</v>
      </c>
      <c r="D70" s="126" t="str">
        <f t="shared" ref="D70" si="10" xml:space="preserve"> IF(C70="","",setValueToTime(C70))</f>
        <v xml:space="preserve"> 40 min</v>
      </c>
      <c r="E70" s="183" t="s">
        <v>262</v>
      </c>
      <c r="F70" s="263"/>
      <c r="G70" s="260"/>
      <c r="H70" s="151"/>
    </row>
    <row r="71" spans="2:8" s="43" customFormat="1" x14ac:dyDescent="0.3">
      <c r="B71" s="45" t="s">
        <v>32</v>
      </c>
      <c r="C71" s="45">
        <v>2</v>
      </c>
      <c r="D71" s="126" t="str">
        <f t="shared" si="9"/>
        <v xml:space="preserve"> 10 min</v>
      </c>
      <c r="E71" s="183" t="s">
        <v>260</v>
      </c>
      <c r="F71" s="263"/>
      <c r="G71" s="260"/>
      <c r="H71" s="151"/>
    </row>
    <row r="72" spans="2:8" s="43" customFormat="1" ht="41.25" thickBot="1" x14ac:dyDescent="0.35">
      <c r="B72" s="47" t="s">
        <v>31</v>
      </c>
      <c r="C72" s="47">
        <v>5</v>
      </c>
      <c r="D72" s="127" t="str">
        <f t="shared" si="9"/>
        <v xml:space="preserve"> 25 min</v>
      </c>
      <c r="E72" s="185" t="s">
        <v>258</v>
      </c>
      <c r="F72" s="261"/>
      <c r="G72" s="262"/>
      <c r="H72" s="151"/>
    </row>
    <row r="73" spans="2:8" s="43" customFormat="1" ht="15" thickBot="1" x14ac:dyDescent="0.35">
      <c r="B73" s="134" t="s">
        <v>44</v>
      </c>
      <c r="C73" s="66">
        <f>SUM(C66:C72)</f>
        <v>38</v>
      </c>
      <c r="D73" s="134" t="str">
        <f xml:space="preserve"> setValueToTime(C73)</f>
        <v>3h 10 min</v>
      </c>
      <c r="E73" s="95"/>
      <c r="F73" s="251"/>
      <c r="G73" s="252"/>
      <c r="H73" s="151"/>
    </row>
    <row r="74" spans="2:8" s="43" customFormat="1" ht="15" thickBot="1" x14ac:dyDescent="0.35">
      <c r="B74" s="60"/>
      <c r="C74" s="60"/>
      <c r="D74" s="60"/>
      <c r="E74" s="60"/>
      <c r="F74" s="60"/>
      <c r="G74" s="60"/>
      <c r="H74" s="151"/>
    </row>
    <row r="75" spans="2:8" s="39" customFormat="1" ht="30" customHeight="1" thickBot="1" x14ac:dyDescent="0.3">
      <c r="B75" s="128" t="s">
        <v>37</v>
      </c>
      <c r="C75" s="136">
        <v>16</v>
      </c>
      <c r="D75" s="136"/>
      <c r="E75" s="129" t="s">
        <v>38</v>
      </c>
      <c r="F75" s="130" t="s">
        <v>121</v>
      </c>
      <c r="G75" s="131" t="s">
        <v>66</v>
      </c>
      <c r="H75" s="150"/>
    </row>
    <row r="76" spans="2:8" s="39" customFormat="1" ht="30" customHeight="1" thickBot="1" x14ac:dyDescent="0.3">
      <c r="B76" s="61" t="s">
        <v>39</v>
      </c>
      <c r="C76" s="133" t="s">
        <v>40</v>
      </c>
      <c r="D76" s="132"/>
      <c r="E76" s="61" t="s">
        <v>41</v>
      </c>
      <c r="F76" s="253" t="s">
        <v>42</v>
      </c>
      <c r="G76" s="254"/>
      <c r="H76" s="150"/>
    </row>
    <row r="77" spans="2:8" s="43" customFormat="1" ht="86.25" customHeight="1" x14ac:dyDescent="0.3">
      <c r="B77" s="40" t="s">
        <v>60</v>
      </c>
      <c r="C77" s="41">
        <v>12</v>
      </c>
      <c r="D77" s="124" t="str">
        <f xml:space="preserve"> IF(C77="","",setValueToTime(C77))</f>
        <v>1h</v>
      </c>
      <c r="E77" s="42" t="s">
        <v>266</v>
      </c>
      <c r="F77" s="264" t="s">
        <v>252</v>
      </c>
      <c r="G77" s="256"/>
      <c r="H77" s="151"/>
    </row>
    <row r="78" spans="2:8" s="43" customFormat="1" ht="40.5" x14ac:dyDescent="0.3">
      <c r="B78" s="44" t="s">
        <v>60</v>
      </c>
      <c r="C78" s="45">
        <v>8</v>
      </c>
      <c r="D78" s="125" t="str">
        <f t="shared" ref="D78:D81" si="11" xml:space="preserve"> IF(C78="","",setValueToTime(C78))</f>
        <v xml:space="preserve"> 40 min</v>
      </c>
      <c r="E78" s="183" t="s">
        <v>253</v>
      </c>
      <c r="F78" s="263"/>
      <c r="G78" s="260"/>
      <c r="H78" s="151"/>
    </row>
    <row r="79" spans="2:8" s="43" customFormat="1" ht="105.75" customHeight="1" x14ac:dyDescent="0.3">
      <c r="B79" s="44" t="s">
        <v>179</v>
      </c>
      <c r="C79" s="45">
        <v>12</v>
      </c>
      <c r="D79" s="125" t="str">
        <f t="shared" si="11"/>
        <v>1h</v>
      </c>
      <c r="E79" s="183" t="s">
        <v>263</v>
      </c>
      <c r="F79" s="259" t="s">
        <v>254</v>
      </c>
      <c r="G79" s="260"/>
      <c r="H79" s="151"/>
    </row>
    <row r="80" spans="2:8" s="43" customFormat="1" ht="40.5" x14ac:dyDescent="0.3">
      <c r="B80" s="44" t="s">
        <v>179</v>
      </c>
      <c r="C80" s="45">
        <v>2</v>
      </c>
      <c r="D80" s="125" t="str">
        <f t="shared" si="11"/>
        <v xml:space="preserve"> 10 min</v>
      </c>
      <c r="E80" s="183" t="s">
        <v>264</v>
      </c>
      <c r="F80" s="263"/>
      <c r="G80" s="260"/>
      <c r="H80" s="151"/>
    </row>
    <row r="81" spans="2:8" s="43" customFormat="1" ht="27.75" thickBot="1" x14ac:dyDescent="0.35">
      <c r="B81" s="47" t="s">
        <v>31</v>
      </c>
      <c r="C81" s="47">
        <v>4</v>
      </c>
      <c r="D81" s="127" t="str">
        <f t="shared" si="11"/>
        <v xml:space="preserve"> 20 min</v>
      </c>
      <c r="E81" s="185" t="s">
        <v>222</v>
      </c>
      <c r="F81" s="261"/>
      <c r="G81" s="262"/>
      <c r="H81" s="151"/>
    </row>
    <row r="82" spans="2:8" s="43" customFormat="1" ht="15" thickBot="1" x14ac:dyDescent="0.35">
      <c r="B82" s="134" t="s">
        <v>44</v>
      </c>
      <c r="C82" s="66">
        <f>SUM(C77:C81)</f>
        <v>38</v>
      </c>
      <c r="D82" s="134" t="str">
        <f xml:space="preserve"> setValueToTime(C82)</f>
        <v>3h 10 min</v>
      </c>
      <c r="E82" s="95"/>
      <c r="F82" s="251"/>
      <c r="G82" s="252"/>
      <c r="H82" s="151"/>
    </row>
    <row r="83" spans="2:8" s="43" customFormat="1" ht="15" thickBot="1" x14ac:dyDescent="0.35">
      <c r="B83" s="60"/>
      <c r="C83" s="60"/>
      <c r="D83" s="60"/>
      <c r="E83" s="60"/>
      <c r="F83" s="60"/>
      <c r="G83" s="60"/>
      <c r="H83" s="151"/>
    </row>
    <row r="84" spans="2:8" s="39" customFormat="1" ht="30" customHeight="1" thickBot="1" x14ac:dyDescent="0.3">
      <c r="B84" s="128" t="s">
        <v>37</v>
      </c>
      <c r="C84" s="136">
        <v>15</v>
      </c>
      <c r="D84" s="136"/>
      <c r="E84" s="129" t="s">
        <v>38</v>
      </c>
      <c r="F84" s="130" t="s">
        <v>124</v>
      </c>
      <c r="G84" s="131" t="s">
        <v>68</v>
      </c>
      <c r="H84" s="150"/>
    </row>
    <row r="85" spans="2:8" s="39" customFormat="1" ht="30" customHeight="1" thickBot="1" x14ac:dyDescent="0.3">
      <c r="B85" s="61" t="s">
        <v>39</v>
      </c>
      <c r="C85" s="133" t="s">
        <v>40</v>
      </c>
      <c r="D85" s="132"/>
      <c r="E85" s="61" t="s">
        <v>41</v>
      </c>
      <c r="F85" s="253" t="s">
        <v>42</v>
      </c>
      <c r="G85" s="254"/>
      <c r="H85" s="150"/>
    </row>
    <row r="86" spans="2:8" s="43" customFormat="1" ht="54" x14ac:dyDescent="0.3">
      <c r="B86" s="40" t="s">
        <v>33</v>
      </c>
      <c r="C86" s="41">
        <v>6</v>
      </c>
      <c r="D86" s="124" t="str">
        <f xml:space="preserve"> IF(C86="","",setValueToTime(C86))</f>
        <v xml:space="preserve"> 30 min</v>
      </c>
      <c r="E86" s="182" t="s">
        <v>268</v>
      </c>
      <c r="F86" s="255"/>
      <c r="G86" s="256"/>
      <c r="H86" s="151"/>
    </row>
    <row r="87" spans="2:8" s="43" customFormat="1" ht="27" x14ac:dyDescent="0.3">
      <c r="B87" s="44" t="s">
        <v>57</v>
      </c>
      <c r="C87" s="45">
        <v>7</v>
      </c>
      <c r="D87" s="125" t="str">
        <f t="shared" ref="D87:D90" si="12" xml:space="preserve"> IF(C87="","",setValueToTime(C87))</f>
        <v xml:space="preserve"> 35 min</v>
      </c>
      <c r="E87" s="46" t="s">
        <v>267</v>
      </c>
      <c r="F87" s="263"/>
      <c r="G87" s="260"/>
      <c r="H87" s="151"/>
    </row>
    <row r="88" spans="2:8" s="43" customFormat="1" ht="27" x14ac:dyDescent="0.3">
      <c r="B88" s="44" t="s">
        <v>55</v>
      </c>
      <c r="C88" s="45">
        <v>2</v>
      </c>
      <c r="D88" s="125" t="str">
        <f t="shared" si="12"/>
        <v xml:space="preserve"> 10 min</v>
      </c>
      <c r="E88" s="46" t="s">
        <v>249</v>
      </c>
      <c r="F88" s="263"/>
      <c r="G88" s="260"/>
      <c r="H88" s="151"/>
    </row>
    <row r="89" spans="2:8" s="43" customFormat="1" ht="57.75" customHeight="1" x14ac:dyDescent="0.3">
      <c r="B89" s="44" t="s">
        <v>58</v>
      </c>
      <c r="C89" s="45">
        <v>8</v>
      </c>
      <c r="D89" s="125" t="str">
        <f t="shared" si="12"/>
        <v xml:space="preserve"> 40 min</v>
      </c>
      <c r="E89" s="46" t="s">
        <v>251</v>
      </c>
      <c r="F89" s="259" t="s">
        <v>250</v>
      </c>
      <c r="G89" s="260"/>
      <c r="H89" s="151"/>
    </row>
    <row r="90" spans="2:8" s="43" customFormat="1" ht="27.75" thickBot="1" x14ac:dyDescent="0.35">
      <c r="B90" s="47" t="s">
        <v>31</v>
      </c>
      <c r="C90" s="47">
        <v>3</v>
      </c>
      <c r="D90" s="127" t="str">
        <f t="shared" si="12"/>
        <v xml:space="preserve"> 15 min</v>
      </c>
      <c r="E90" s="185" t="s">
        <v>242</v>
      </c>
      <c r="F90" s="261"/>
      <c r="G90" s="262"/>
      <c r="H90" s="151"/>
    </row>
    <row r="91" spans="2:8" s="43" customFormat="1" ht="15" thickBot="1" x14ac:dyDescent="0.35">
      <c r="B91" s="134" t="s">
        <v>44</v>
      </c>
      <c r="C91" s="66">
        <f>SUM(C86:C90)</f>
        <v>26</v>
      </c>
      <c r="D91" s="134" t="str">
        <f xml:space="preserve"> setValueToTime(C91)</f>
        <v>2h 10 min</v>
      </c>
      <c r="E91" s="95"/>
      <c r="F91" s="251"/>
      <c r="G91" s="252"/>
      <c r="H91" s="151"/>
    </row>
    <row r="92" spans="2:8" s="43" customFormat="1" ht="15" thickBot="1" x14ac:dyDescent="0.35">
      <c r="B92" s="60"/>
      <c r="C92" s="60"/>
      <c r="D92" s="60"/>
      <c r="E92" s="60"/>
      <c r="F92" s="60"/>
      <c r="G92" s="60"/>
      <c r="H92" s="151"/>
    </row>
    <row r="93" spans="2:8" s="39" customFormat="1" ht="30" customHeight="1" thickBot="1" x14ac:dyDescent="0.3">
      <c r="B93" s="128" t="s">
        <v>37</v>
      </c>
      <c r="C93" s="136">
        <v>14</v>
      </c>
      <c r="D93" s="136"/>
      <c r="E93" s="129" t="s">
        <v>38</v>
      </c>
      <c r="F93" s="130" t="s">
        <v>124</v>
      </c>
      <c r="G93" s="131" t="s">
        <v>66</v>
      </c>
      <c r="H93" s="150"/>
    </row>
    <row r="94" spans="2:8" s="39" customFormat="1" ht="30" customHeight="1" thickBot="1" x14ac:dyDescent="0.3">
      <c r="B94" s="61" t="s">
        <v>39</v>
      </c>
      <c r="C94" s="133" t="s">
        <v>40</v>
      </c>
      <c r="D94" s="132"/>
      <c r="E94" s="61" t="s">
        <v>41</v>
      </c>
      <c r="F94" s="253" t="s">
        <v>42</v>
      </c>
      <c r="G94" s="254"/>
      <c r="H94" s="150"/>
    </row>
    <row r="95" spans="2:8" s="43" customFormat="1" x14ac:dyDescent="0.3">
      <c r="B95" s="40" t="s">
        <v>28</v>
      </c>
      <c r="C95" s="41">
        <v>3</v>
      </c>
      <c r="D95" s="124" t="str">
        <f xml:space="preserve"> IF(C95="","",setValueToTime(C95))</f>
        <v xml:space="preserve"> 15 min</v>
      </c>
      <c r="E95" s="42" t="s">
        <v>243</v>
      </c>
      <c r="F95" s="255"/>
      <c r="G95" s="256"/>
      <c r="H95" s="151"/>
    </row>
    <row r="96" spans="2:8" s="43" customFormat="1" x14ac:dyDescent="0.3">
      <c r="B96" s="44" t="s">
        <v>28</v>
      </c>
      <c r="C96" s="45">
        <v>7</v>
      </c>
      <c r="D96" s="125" t="str">
        <f t="shared" ref="D96:D100" si="13" xml:space="preserve"> IF(C96="","",setValueToTime(C96))</f>
        <v xml:space="preserve"> 35 min</v>
      </c>
      <c r="E96" s="46" t="s">
        <v>244</v>
      </c>
      <c r="F96" s="263"/>
      <c r="G96" s="260"/>
      <c r="H96" s="151"/>
    </row>
    <row r="97" spans="2:8" s="43" customFormat="1" ht="40.5" x14ac:dyDescent="0.3">
      <c r="B97" s="44" t="s">
        <v>32</v>
      </c>
      <c r="C97" s="45">
        <v>12</v>
      </c>
      <c r="D97" s="125" t="str">
        <f t="shared" si="13"/>
        <v>1h</v>
      </c>
      <c r="E97" s="183" t="s">
        <v>245</v>
      </c>
      <c r="F97" s="263"/>
      <c r="G97" s="260"/>
      <c r="H97" s="151"/>
    </row>
    <row r="98" spans="2:8" s="43" customFormat="1" ht="40.5" x14ac:dyDescent="0.3">
      <c r="B98" s="44" t="s">
        <v>32</v>
      </c>
      <c r="C98" s="45">
        <v>12</v>
      </c>
      <c r="D98" s="125" t="str">
        <f t="shared" si="13"/>
        <v>1h</v>
      </c>
      <c r="E98" s="46" t="s">
        <v>246</v>
      </c>
      <c r="F98" s="259" t="s">
        <v>247</v>
      </c>
      <c r="G98" s="260"/>
      <c r="H98" s="151"/>
    </row>
    <row r="99" spans="2:8" s="43" customFormat="1" x14ac:dyDescent="0.3">
      <c r="B99" s="45" t="s">
        <v>32</v>
      </c>
      <c r="C99" s="45">
        <v>2</v>
      </c>
      <c r="D99" s="126" t="str">
        <f t="shared" si="13"/>
        <v xml:space="preserve"> 10 min</v>
      </c>
      <c r="E99" s="46" t="s">
        <v>248</v>
      </c>
      <c r="F99" s="263"/>
      <c r="G99" s="260"/>
      <c r="H99" s="151"/>
    </row>
    <row r="100" spans="2:8" s="43" customFormat="1" ht="27.75" thickBot="1" x14ac:dyDescent="0.35">
      <c r="B100" s="47" t="s">
        <v>31</v>
      </c>
      <c r="C100" s="47">
        <v>2</v>
      </c>
      <c r="D100" s="127" t="str">
        <f t="shared" si="13"/>
        <v xml:space="preserve"> 10 min</v>
      </c>
      <c r="E100" s="48" t="s">
        <v>222</v>
      </c>
      <c r="F100" s="261"/>
      <c r="G100" s="262"/>
      <c r="H100" s="151"/>
    </row>
    <row r="101" spans="2:8" s="43" customFormat="1" ht="15" thickBot="1" x14ac:dyDescent="0.35">
      <c r="B101" s="134" t="s">
        <v>44</v>
      </c>
      <c r="C101" s="66">
        <f>SUM(C95:C100)</f>
        <v>38</v>
      </c>
      <c r="D101" s="134" t="str">
        <f xml:space="preserve"> setValueToTime(C101)</f>
        <v>3h 10 min</v>
      </c>
      <c r="E101" s="95"/>
      <c r="F101" s="251"/>
      <c r="G101" s="252"/>
      <c r="H101" s="151"/>
    </row>
    <row r="102" spans="2:8" s="43" customFormat="1" ht="15" thickBot="1" x14ac:dyDescent="0.35">
      <c r="B102" s="60"/>
      <c r="C102" s="60"/>
      <c r="D102" s="60"/>
      <c r="E102" s="60"/>
      <c r="F102" s="60"/>
      <c r="G102" s="60"/>
      <c r="H102" s="151"/>
    </row>
    <row r="103" spans="2:8" s="39" customFormat="1" ht="30" customHeight="1" thickBot="1" x14ac:dyDescent="0.3">
      <c r="B103" s="128" t="s">
        <v>37</v>
      </c>
      <c r="C103" s="136">
        <v>13</v>
      </c>
      <c r="D103" s="136"/>
      <c r="E103" s="129" t="s">
        <v>38</v>
      </c>
      <c r="F103" s="130" t="s">
        <v>127</v>
      </c>
      <c r="G103" s="131" t="s">
        <v>68</v>
      </c>
      <c r="H103" s="150"/>
    </row>
    <row r="104" spans="2:8" s="39" customFormat="1" ht="30" customHeight="1" thickBot="1" x14ac:dyDescent="0.3">
      <c r="B104" s="61" t="s">
        <v>39</v>
      </c>
      <c r="C104" s="133" t="s">
        <v>40</v>
      </c>
      <c r="D104" s="132"/>
      <c r="E104" s="61" t="s">
        <v>41</v>
      </c>
      <c r="F104" s="253" t="s">
        <v>42</v>
      </c>
      <c r="G104" s="254"/>
      <c r="H104" s="150"/>
    </row>
    <row r="105" spans="2:8" s="43" customFormat="1" ht="40.5" x14ac:dyDescent="0.3">
      <c r="B105" s="40" t="s">
        <v>60</v>
      </c>
      <c r="C105" s="41">
        <v>3</v>
      </c>
      <c r="D105" s="124" t="str">
        <f xml:space="preserve"> IF(C105="","",setValueToTime(C105))</f>
        <v xml:space="preserve"> 15 min</v>
      </c>
      <c r="E105" s="42" t="s">
        <v>234</v>
      </c>
      <c r="F105" s="255"/>
      <c r="G105" s="256"/>
      <c r="H105" s="151"/>
    </row>
    <row r="106" spans="2:8" s="43" customFormat="1" x14ac:dyDescent="0.3">
      <c r="B106" s="44" t="s">
        <v>28</v>
      </c>
      <c r="C106" s="45">
        <v>2</v>
      </c>
      <c r="D106" s="125" t="str">
        <f t="shared" ref="D106:D112" si="14" xml:space="preserve"> IF(C106="","",setValueToTime(C106))</f>
        <v xml:space="preserve"> 10 min</v>
      </c>
      <c r="E106" s="46" t="s">
        <v>236</v>
      </c>
      <c r="F106" s="263"/>
      <c r="G106" s="260"/>
      <c r="H106" s="151"/>
    </row>
    <row r="107" spans="2:8" s="43" customFormat="1" ht="27" x14ac:dyDescent="0.3">
      <c r="B107" s="44" t="s">
        <v>32</v>
      </c>
      <c r="C107" s="45">
        <v>12</v>
      </c>
      <c r="D107" s="125" t="str">
        <f t="shared" si="14"/>
        <v>1h</v>
      </c>
      <c r="E107" s="46" t="s">
        <v>237</v>
      </c>
      <c r="F107" s="263"/>
      <c r="G107" s="260"/>
      <c r="H107" s="151"/>
    </row>
    <row r="108" spans="2:8" s="43" customFormat="1" x14ac:dyDescent="0.3">
      <c r="B108" s="44" t="s">
        <v>32</v>
      </c>
      <c r="C108" s="45">
        <v>2</v>
      </c>
      <c r="D108" s="125" t="str">
        <f t="shared" si="14"/>
        <v xml:space="preserve"> 10 min</v>
      </c>
      <c r="E108" s="46" t="s">
        <v>275</v>
      </c>
      <c r="F108" s="263"/>
      <c r="G108" s="260"/>
      <c r="H108" s="151"/>
    </row>
    <row r="109" spans="2:8" s="43" customFormat="1" ht="27" x14ac:dyDescent="0.3">
      <c r="B109" s="45" t="s">
        <v>57</v>
      </c>
      <c r="C109" s="45">
        <v>1</v>
      </c>
      <c r="D109" s="126" t="str">
        <f t="shared" si="14"/>
        <v xml:space="preserve"> 5 min</v>
      </c>
      <c r="E109" s="46" t="s">
        <v>238</v>
      </c>
      <c r="F109" s="263"/>
      <c r="G109" s="260"/>
      <c r="H109" s="151"/>
    </row>
    <row r="110" spans="2:8" s="43" customFormat="1" ht="40.5" x14ac:dyDescent="0.3">
      <c r="B110" s="45" t="s">
        <v>60</v>
      </c>
      <c r="C110" s="45">
        <v>3</v>
      </c>
      <c r="D110" s="126" t="str">
        <f t="shared" si="14"/>
        <v xml:space="preserve"> 15 min</v>
      </c>
      <c r="E110" s="46" t="s">
        <v>239</v>
      </c>
      <c r="F110" s="263"/>
      <c r="G110" s="260"/>
      <c r="H110" s="151"/>
    </row>
    <row r="111" spans="2:8" s="43" customFormat="1" x14ac:dyDescent="0.3">
      <c r="B111" s="45" t="s">
        <v>32</v>
      </c>
      <c r="C111" s="45">
        <v>10</v>
      </c>
      <c r="D111" s="126" t="str">
        <f xml:space="preserve"> IF(C111="","",setValueToTime(C111))</f>
        <v xml:space="preserve"> 50 min</v>
      </c>
      <c r="E111" s="46" t="s">
        <v>240</v>
      </c>
      <c r="F111" s="263"/>
      <c r="G111" s="260"/>
      <c r="H111" s="151"/>
    </row>
    <row r="112" spans="2:8" s="43" customFormat="1" ht="41.25" thickBot="1" x14ac:dyDescent="0.35">
      <c r="B112" s="47" t="s">
        <v>31</v>
      </c>
      <c r="C112" s="47">
        <v>5</v>
      </c>
      <c r="D112" s="127" t="str">
        <f t="shared" si="14"/>
        <v xml:space="preserve"> 25 min</v>
      </c>
      <c r="E112" s="48" t="s">
        <v>241</v>
      </c>
      <c r="F112" s="261"/>
      <c r="G112" s="262"/>
      <c r="H112" s="151"/>
    </row>
    <row r="113" spans="2:8" s="43" customFormat="1" ht="15" thickBot="1" x14ac:dyDescent="0.35">
      <c r="B113" s="134" t="s">
        <v>44</v>
      </c>
      <c r="C113" s="66">
        <f>SUM(C105:C112)</f>
        <v>38</v>
      </c>
      <c r="D113" s="134" t="str">
        <f xml:space="preserve"> setValueToTime(C113)</f>
        <v>3h 10 min</v>
      </c>
      <c r="E113" s="95"/>
      <c r="F113" s="251"/>
      <c r="G113" s="252"/>
      <c r="H113" s="151"/>
    </row>
    <row r="114" spans="2:8" s="43" customFormat="1" ht="15" thickBot="1" x14ac:dyDescent="0.35">
      <c r="B114" s="60"/>
      <c r="C114" s="60"/>
      <c r="D114" s="60"/>
      <c r="E114" s="60"/>
      <c r="F114" s="60"/>
      <c r="G114" s="60"/>
      <c r="H114" s="151"/>
    </row>
    <row r="115" spans="2:8" s="39" customFormat="1" ht="30" customHeight="1" thickBot="1" x14ac:dyDescent="0.3">
      <c r="B115" s="128" t="s">
        <v>37</v>
      </c>
      <c r="C115" s="136">
        <v>12</v>
      </c>
      <c r="D115" s="136"/>
      <c r="E115" s="129" t="s">
        <v>38</v>
      </c>
      <c r="F115" s="130" t="s">
        <v>127</v>
      </c>
      <c r="G115" s="131" t="s">
        <v>66</v>
      </c>
      <c r="H115" s="150"/>
    </row>
    <row r="116" spans="2:8" s="39" customFormat="1" ht="30" customHeight="1" thickBot="1" x14ac:dyDescent="0.3">
      <c r="B116" s="61" t="s">
        <v>39</v>
      </c>
      <c r="C116" s="133" t="s">
        <v>40</v>
      </c>
      <c r="D116" s="132"/>
      <c r="E116" s="61" t="s">
        <v>41</v>
      </c>
      <c r="F116" s="253" t="s">
        <v>42</v>
      </c>
      <c r="G116" s="254"/>
      <c r="H116" s="150"/>
    </row>
    <row r="117" spans="2:8" s="43" customFormat="1" ht="27" x14ac:dyDescent="0.3">
      <c r="B117" s="40" t="s">
        <v>56</v>
      </c>
      <c r="C117" s="41">
        <v>3</v>
      </c>
      <c r="D117" s="124" t="str">
        <f xml:space="preserve"> IF(C117="","",setValueToTime(C117))</f>
        <v xml:space="preserve"> 15 min</v>
      </c>
      <c r="E117" s="42" t="s">
        <v>229</v>
      </c>
      <c r="F117" s="255"/>
      <c r="G117" s="256"/>
      <c r="H117" s="151"/>
    </row>
    <row r="118" spans="2:8" s="43" customFormat="1" ht="40.5" x14ac:dyDescent="0.3">
      <c r="B118" s="44" t="s">
        <v>53</v>
      </c>
      <c r="C118" s="45">
        <v>1</v>
      </c>
      <c r="D118" s="125" t="str">
        <f t="shared" ref="D118:D125" si="15" xml:space="preserve"> IF(C118="","",setValueToTime(C118))</f>
        <v xml:space="preserve"> 5 min</v>
      </c>
      <c r="E118" s="46" t="s">
        <v>227</v>
      </c>
      <c r="F118" s="263"/>
      <c r="G118" s="260"/>
      <c r="H118" s="151"/>
    </row>
    <row r="119" spans="2:8" s="43" customFormat="1" ht="40.5" x14ac:dyDescent="0.3">
      <c r="B119" s="44" t="s">
        <v>60</v>
      </c>
      <c r="C119" s="45">
        <v>2</v>
      </c>
      <c r="D119" s="125" t="str">
        <f t="shared" si="15"/>
        <v xml:space="preserve"> 10 min</v>
      </c>
      <c r="E119" s="46" t="s">
        <v>228</v>
      </c>
      <c r="F119" s="263"/>
      <c r="G119" s="260"/>
      <c r="H119" s="151"/>
    </row>
    <row r="120" spans="2:8" s="43" customFormat="1" ht="123.75" customHeight="1" x14ac:dyDescent="0.3">
      <c r="B120" s="44" t="s">
        <v>56</v>
      </c>
      <c r="C120" s="45">
        <v>10</v>
      </c>
      <c r="D120" s="125" t="str">
        <f t="shared" si="15"/>
        <v xml:space="preserve"> 50 min</v>
      </c>
      <c r="E120" s="46" t="s">
        <v>230</v>
      </c>
      <c r="F120" s="259" t="s">
        <v>255</v>
      </c>
      <c r="G120" s="260"/>
      <c r="H120" s="151"/>
    </row>
    <row r="121" spans="2:8" s="43" customFormat="1" ht="54" customHeight="1" x14ac:dyDescent="0.3">
      <c r="B121" s="45" t="s">
        <v>60</v>
      </c>
      <c r="C121" s="45">
        <v>12</v>
      </c>
      <c r="D121" s="126" t="str">
        <f t="shared" si="15"/>
        <v>1h</v>
      </c>
      <c r="E121" s="46" t="s">
        <v>231</v>
      </c>
      <c r="F121" s="263"/>
      <c r="G121" s="260"/>
      <c r="H121" s="151"/>
    </row>
    <row r="122" spans="2:8" s="43" customFormat="1" ht="54" x14ac:dyDescent="0.3">
      <c r="B122" s="45" t="s">
        <v>60</v>
      </c>
      <c r="C122" s="45">
        <v>12</v>
      </c>
      <c r="D122" s="126" t="str">
        <f t="shared" si="15"/>
        <v>1h</v>
      </c>
      <c r="E122" s="46" t="s">
        <v>232</v>
      </c>
      <c r="F122" s="263"/>
      <c r="G122" s="260"/>
      <c r="H122" s="151"/>
    </row>
    <row r="123" spans="2:8" s="43" customFormat="1" ht="40.5" x14ac:dyDescent="0.3">
      <c r="B123" s="45" t="s">
        <v>59</v>
      </c>
      <c r="C123" s="45">
        <v>1</v>
      </c>
      <c r="D123" s="126" t="str">
        <f t="shared" ref="D123" si="16" xml:space="preserve"> IF(C123="","",setValueToTime(C123))</f>
        <v xml:space="preserve"> 5 min</v>
      </c>
      <c r="E123" s="46" t="s">
        <v>233</v>
      </c>
      <c r="F123" s="263"/>
      <c r="G123" s="260"/>
      <c r="H123" s="151"/>
    </row>
    <row r="124" spans="2:8" s="43" customFormat="1" ht="40.5" x14ac:dyDescent="0.3">
      <c r="B124" s="45" t="s">
        <v>60</v>
      </c>
      <c r="C124" s="45">
        <v>4</v>
      </c>
      <c r="D124" s="126" t="str">
        <f t="shared" si="15"/>
        <v xml:space="preserve"> 20 min</v>
      </c>
      <c r="E124" s="46" t="s">
        <v>235</v>
      </c>
      <c r="F124" s="263"/>
      <c r="G124" s="260"/>
      <c r="H124" s="151"/>
    </row>
    <row r="125" spans="2:8" s="43" customFormat="1" ht="27.75" thickBot="1" x14ac:dyDescent="0.35">
      <c r="B125" s="47" t="s">
        <v>31</v>
      </c>
      <c r="C125" s="47">
        <v>3</v>
      </c>
      <c r="D125" s="127" t="str">
        <f t="shared" si="15"/>
        <v xml:space="preserve"> 15 min</v>
      </c>
      <c r="E125" s="48" t="s">
        <v>222</v>
      </c>
      <c r="F125" s="261"/>
      <c r="G125" s="262"/>
      <c r="H125" s="151"/>
    </row>
    <row r="126" spans="2:8" s="43" customFormat="1" ht="15" thickBot="1" x14ac:dyDescent="0.35">
      <c r="B126" s="134" t="s">
        <v>44</v>
      </c>
      <c r="C126" s="66">
        <f>SUM(C117:C125)</f>
        <v>48</v>
      </c>
      <c r="D126" s="134" t="str">
        <f xml:space="preserve"> setValueToTime(C126)</f>
        <v>4h</v>
      </c>
      <c r="E126" s="95"/>
      <c r="F126" s="251"/>
      <c r="G126" s="252"/>
      <c r="H126" s="151"/>
    </row>
    <row r="127" spans="2:8" s="43" customFormat="1" ht="15" thickBot="1" x14ac:dyDescent="0.35">
      <c r="B127" s="60"/>
      <c r="C127" s="60"/>
      <c r="D127" s="60"/>
      <c r="E127" s="60"/>
      <c r="F127" s="60"/>
      <c r="G127" s="60"/>
      <c r="H127" s="151"/>
    </row>
    <row r="128" spans="2:8" s="39" customFormat="1" ht="30" customHeight="1" thickBot="1" x14ac:dyDescent="0.3">
      <c r="B128" s="128" t="s">
        <v>37</v>
      </c>
      <c r="C128" s="136">
        <v>11</v>
      </c>
      <c r="D128" s="136"/>
      <c r="E128" s="129" t="s">
        <v>38</v>
      </c>
      <c r="F128" s="130" t="s">
        <v>130</v>
      </c>
      <c r="G128" s="131" t="s">
        <v>68</v>
      </c>
      <c r="H128" s="150"/>
    </row>
    <row r="129" spans="2:8" s="39" customFormat="1" ht="30" customHeight="1" thickBot="1" x14ac:dyDescent="0.3">
      <c r="B129" s="61" t="s">
        <v>39</v>
      </c>
      <c r="C129" s="133" t="s">
        <v>40</v>
      </c>
      <c r="D129" s="132"/>
      <c r="E129" s="61" t="s">
        <v>41</v>
      </c>
      <c r="F129" s="253" t="s">
        <v>42</v>
      </c>
      <c r="G129" s="254"/>
      <c r="H129" s="150"/>
    </row>
    <row r="130" spans="2:8" s="43" customFormat="1" x14ac:dyDescent="0.3">
      <c r="B130" s="40" t="s">
        <v>28</v>
      </c>
      <c r="C130" s="41">
        <v>2</v>
      </c>
      <c r="D130" s="124" t="str">
        <f xml:space="preserve"> IF(C130="","",setValueToTime(C130))</f>
        <v xml:space="preserve"> 10 min</v>
      </c>
      <c r="E130" s="42" t="s">
        <v>221</v>
      </c>
      <c r="F130" s="255"/>
      <c r="G130" s="256"/>
      <c r="H130" s="151"/>
    </row>
    <row r="131" spans="2:8" s="43" customFormat="1" ht="40.5" x14ac:dyDescent="0.3">
      <c r="B131" s="44" t="s">
        <v>60</v>
      </c>
      <c r="C131" s="45">
        <v>12</v>
      </c>
      <c r="D131" s="125" t="str">
        <f t="shared" ref="D131:D134" si="17" xml:space="preserve"> IF(C131="","",setValueToTime(C131))</f>
        <v>1h</v>
      </c>
      <c r="E131" s="46" t="s">
        <v>224</v>
      </c>
      <c r="F131" s="259" t="s">
        <v>225</v>
      </c>
      <c r="G131" s="260"/>
      <c r="H131" s="151"/>
    </row>
    <row r="132" spans="2:8" s="43" customFormat="1" ht="40.5" x14ac:dyDescent="0.3">
      <c r="B132" s="44" t="s">
        <v>60</v>
      </c>
      <c r="C132" s="45">
        <v>12</v>
      </c>
      <c r="D132" s="125" t="str">
        <f t="shared" si="17"/>
        <v>1h</v>
      </c>
      <c r="E132" s="46" t="s">
        <v>223</v>
      </c>
      <c r="F132" s="263"/>
      <c r="G132" s="260"/>
      <c r="H132" s="151"/>
    </row>
    <row r="133" spans="2:8" s="43" customFormat="1" ht="40.5" x14ac:dyDescent="0.3">
      <c r="B133" s="44" t="s">
        <v>60</v>
      </c>
      <c r="C133" s="45">
        <v>9</v>
      </c>
      <c r="D133" s="125" t="str">
        <f t="shared" si="17"/>
        <v xml:space="preserve"> 45 min</v>
      </c>
      <c r="E133" s="46" t="s">
        <v>226</v>
      </c>
      <c r="F133" s="263"/>
      <c r="G133" s="260"/>
      <c r="H133" s="151"/>
    </row>
    <row r="134" spans="2:8" s="43" customFormat="1" ht="27.75" thickBot="1" x14ac:dyDescent="0.35">
      <c r="B134" s="47" t="s">
        <v>31</v>
      </c>
      <c r="C134" s="47">
        <v>3</v>
      </c>
      <c r="D134" s="127" t="str">
        <f t="shared" si="17"/>
        <v xml:space="preserve"> 15 min</v>
      </c>
      <c r="E134" s="48" t="s">
        <v>203</v>
      </c>
      <c r="F134" s="261"/>
      <c r="G134" s="262"/>
      <c r="H134" s="151"/>
    </row>
    <row r="135" spans="2:8" s="43" customFormat="1" ht="15" thickBot="1" x14ac:dyDescent="0.35">
      <c r="B135" s="134" t="s">
        <v>44</v>
      </c>
      <c r="C135" s="66">
        <f>SUM(C130:C134)</f>
        <v>38</v>
      </c>
      <c r="D135" s="134" t="str">
        <f xml:space="preserve"> setValueToTime(C135)</f>
        <v>3h 10 min</v>
      </c>
      <c r="E135" s="95"/>
      <c r="F135" s="251"/>
      <c r="G135" s="252"/>
      <c r="H135" s="151"/>
    </row>
    <row r="136" spans="2:8" s="43" customFormat="1" ht="15" thickBot="1" x14ac:dyDescent="0.35">
      <c r="B136" s="60"/>
      <c r="C136" s="60"/>
      <c r="D136" s="60"/>
      <c r="E136" s="60"/>
      <c r="F136" s="60"/>
      <c r="G136" s="60"/>
      <c r="H136" s="151"/>
    </row>
    <row r="137" spans="2:8" s="39" customFormat="1" ht="30" customHeight="1" thickBot="1" x14ac:dyDescent="0.3">
      <c r="B137" s="128" t="s">
        <v>37</v>
      </c>
      <c r="C137" s="136">
        <v>10</v>
      </c>
      <c r="D137" s="136"/>
      <c r="E137" s="129" t="s">
        <v>38</v>
      </c>
      <c r="F137" s="130" t="s">
        <v>130</v>
      </c>
      <c r="G137" s="131" t="s">
        <v>66</v>
      </c>
      <c r="H137" s="150"/>
    </row>
    <row r="138" spans="2:8" s="39" customFormat="1" ht="30" customHeight="1" thickBot="1" x14ac:dyDescent="0.3">
      <c r="B138" s="61" t="s">
        <v>39</v>
      </c>
      <c r="C138" s="133" t="s">
        <v>40</v>
      </c>
      <c r="D138" s="132"/>
      <c r="E138" s="61" t="s">
        <v>41</v>
      </c>
      <c r="F138" s="253" t="s">
        <v>42</v>
      </c>
      <c r="G138" s="254"/>
      <c r="H138" s="150"/>
    </row>
    <row r="139" spans="2:8" s="43" customFormat="1" ht="40.5" x14ac:dyDescent="0.3">
      <c r="B139" s="40" t="s">
        <v>59</v>
      </c>
      <c r="C139" s="41">
        <v>7</v>
      </c>
      <c r="D139" s="124" t="str">
        <f xml:space="preserve"> IF(C139="","",setValueToTime(C139))</f>
        <v xml:space="preserve"> 35 min</v>
      </c>
      <c r="E139" s="42" t="s">
        <v>213</v>
      </c>
      <c r="F139" s="255"/>
      <c r="G139" s="256"/>
      <c r="H139" s="151"/>
    </row>
    <row r="140" spans="2:8" s="43" customFormat="1" ht="67.5" customHeight="1" x14ac:dyDescent="0.3">
      <c r="B140" s="44" t="s">
        <v>58</v>
      </c>
      <c r="C140" s="45">
        <v>1</v>
      </c>
      <c r="D140" s="125" t="str">
        <f t="shared" ref="D140:D145" si="18" xml:space="preserve"> IF(C140="","",setValueToTime(C140))</f>
        <v xml:space="preserve"> 5 min</v>
      </c>
      <c r="E140" s="46" t="s">
        <v>214</v>
      </c>
      <c r="F140" s="259" t="s">
        <v>215</v>
      </c>
      <c r="G140" s="260"/>
      <c r="H140" s="151"/>
    </row>
    <row r="141" spans="2:8" s="43" customFormat="1" ht="84" customHeight="1" x14ac:dyDescent="0.3">
      <c r="B141" s="44" t="s">
        <v>60</v>
      </c>
      <c r="C141" s="45">
        <v>12</v>
      </c>
      <c r="D141" s="125" t="str">
        <f t="shared" si="18"/>
        <v>1h</v>
      </c>
      <c r="E141" s="183" t="s">
        <v>261</v>
      </c>
      <c r="F141" s="259" t="s">
        <v>216</v>
      </c>
      <c r="G141" s="260"/>
      <c r="H141" s="151"/>
    </row>
    <row r="142" spans="2:8" s="43" customFormat="1" ht="66" customHeight="1" x14ac:dyDescent="0.3">
      <c r="B142" s="44" t="s">
        <v>60</v>
      </c>
      <c r="C142" s="45">
        <v>12</v>
      </c>
      <c r="D142" s="125" t="str">
        <f t="shared" si="18"/>
        <v>1h</v>
      </c>
      <c r="E142" s="46" t="s">
        <v>218</v>
      </c>
      <c r="F142" s="259" t="s">
        <v>217</v>
      </c>
      <c r="G142" s="260"/>
      <c r="H142" s="151"/>
    </row>
    <row r="143" spans="2:8" s="43" customFormat="1" ht="40.5" x14ac:dyDescent="0.3">
      <c r="B143" s="45" t="s">
        <v>60</v>
      </c>
      <c r="C143" s="45">
        <v>7</v>
      </c>
      <c r="D143" s="126" t="str">
        <f t="shared" si="18"/>
        <v xml:space="preserve"> 35 min</v>
      </c>
      <c r="E143" s="46" t="s">
        <v>219</v>
      </c>
      <c r="F143" s="263"/>
      <c r="G143" s="260"/>
      <c r="H143" s="151"/>
    </row>
    <row r="144" spans="2:8" s="43" customFormat="1" ht="40.5" x14ac:dyDescent="0.3">
      <c r="B144" s="45" t="s">
        <v>58</v>
      </c>
      <c r="C144" s="45">
        <v>7</v>
      </c>
      <c r="D144" s="126" t="str">
        <f t="shared" si="18"/>
        <v xml:space="preserve"> 35 min</v>
      </c>
      <c r="E144" s="46" t="s">
        <v>220</v>
      </c>
      <c r="F144" s="263"/>
      <c r="G144" s="260"/>
      <c r="H144" s="151"/>
    </row>
    <row r="145" spans="2:8" s="43" customFormat="1" ht="27.75" thickBot="1" x14ac:dyDescent="0.35">
      <c r="B145" s="47" t="s">
        <v>31</v>
      </c>
      <c r="C145" s="47">
        <v>2</v>
      </c>
      <c r="D145" s="127" t="str">
        <f t="shared" si="18"/>
        <v xml:space="preserve"> 10 min</v>
      </c>
      <c r="E145" s="48" t="s">
        <v>222</v>
      </c>
      <c r="F145" s="261"/>
      <c r="G145" s="262"/>
      <c r="H145" s="151"/>
    </row>
    <row r="146" spans="2:8" s="43" customFormat="1" ht="15" thickBot="1" x14ac:dyDescent="0.35">
      <c r="B146" s="134" t="s">
        <v>44</v>
      </c>
      <c r="C146" s="66">
        <f>SUM(C139:C145)</f>
        <v>48</v>
      </c>
      <c r="D146" s="134" t="str">
        <f xml:space="preserve"> setValueToTime(C146)</f>
        <v>4h</v>
      </c>
      <c r="E146" s="95"/>
      <c r="F146" s="251"/>
      <c r="G146" s="252"/>
      <c r="H146" s="151"/>
    </row>
    <row r="147" spans="2:8" s="43" customFormat="1" ht="15" thickBot="1" x14ac:dyDescent="0.35">
      <c r="B147" s="60"/>
      <c r="C147" s="60"/>
      <c r="D147" s="60"/>
      <c r="E147" s="60"/>
      <c r="F147" s="60"/>
      <c r="G147" s="60"/>
      <c r="H147" s="151"/>
    </row>
    <row r="148" spans="2:8" s="39" customFormat="1" ht="30" customHeight="1" thickBot="1" x14ac:dyDescent="0.3">
      <c r="B148" s="128" t="s">
        <v>37</v>
      </c>
      <c r="C148" s="136">
        <v>9</v>
      </c>
      <c r="D148" s="136"/>
      <c r="E148" s="129" t="s">
        <v>38</v>
      </c>
      <c r="F148" s="130" t="s">
        <v>133</v>
      </c>
      <c r="G148" s="131" t="s">
        <v>66</v>
      </c>
      <c r="H148" s="150"/>
    </row>
    <row r="149" spans="2:8" s="39" customFormat="1" ht="30" customHeight="1" thickBot="1" x14ac:dyDescent="0.3">
      <c r="B149" s="61" t="s">
        <v>39</v>
      </c>
      <c r="C149" s="133" t="s">
        <v>40</v>
      </c>
      <c r="D149" s="132"/>
      <c r="E149" s="61" t="s">
        <v>41</v>
      </c>
      <c r="F149" s="253" t="s">
        <v>42</v>
      </c>
      <c r="G149" s="254"/>
      <c r="H149" s="150"/>
    </row>
    <row r="150" spans="2:8" s="43" customFormat="1" ht="27" x14ac:dyDescent="0.3">
      <c r="B150" s="40" t="s">
        <v>56</v>
      </c>
      <c r="C150" s="41">
        <v>8</v>
      </c>
      <c r="D150" s="124" t="str">
        <f xml:space="preserve"> IF(C150="","",setValueToTime(C150))</f>
        <v xml:space="preserve"> 40 min</v>
      </c>
      <c r="E150" s="42" t="s">
        <v>205</v>
      </c>
      <c r="F150" s="255"/>
      <c r="G150" s="256"/>
      <c r="H150" s="151"/>
    </row>
    <row r="151" spans="2:8" s="43" customFormat="1" x14ac:dyDescent="0.3">
      <c r="B151" s="44" t="s">
        <v>28</v>
      </c>
      <c r="C151" s="45">
        <v>3</v>
      </c>
      <c r="D151" s="125" t="str">
        <f t="shared" ref="D151:D156" si="19" xml:space="preserve"> IF(C151="","",setValueToTime(C151))</f>
        <v xml:space="preserve"> 15 min</v>
      </c>
      <c r="E151" s="46" t="s">
        <v>206</v>
      </c>
      <c r="F151" s="263"/>
      <c r="G151" s="260"/>
      <c r="H151" s="151"/>
    </row>
    <row r="152" spans="2:8" s="43" customFormat="1" ht="40.5" x14ac:dyDescent="0.3">
      <c r="B152" s="44" t="s">
        <v>53</v>
      </c>
      <c r="C152" s="45">
        <v>7</v>
      </c>
      <c r="D152" s="125" t="str">
        <f xml:space="preserve"> IF(C152="","",setValueToTime(C152))</f>
        <v xml:space="preserve"> 35 min</v>
      </c>
      <c r="E152" s="46" t="s">
        <v>207</v>
      </c>
      <c r="F152" s="263"/>
      <c r="G152" s="260"/>
      <c r="H152" s="151"/>
    </row>
    <row r="153" spans="2:8" s="43" customFormat="1" ht="54" x14ac:dyDescent="0.3">
      <c r="B153" s="44" t="s">
        <v>58</v>
      </c>
      <c r="C153" s="45">
        <v>10</v>
      </c>
      <c r="D153" s="125" t="str">
        <f t="shared" si="19"/>
        <v xml:space="preserve"> 50 min</v>
      </c>
      <c r="E153" s="46" t="s">
        <v>209</v>
      </c>
      <c r="F153" s="259" t="s">
        <v>208</v>
      </c>
      <c r="G153" s="260"/>
      <c r="H153" s="151"/>
    </row>
    <row r="154" spans="2:8" s="43" customFormat="1" ht="40.5" x14ac:dyDescent="0.3">
      <c r="B154" s="45" t="s">
        <v>57</v>
      </c>
      <c r="C154" s="45">
        <v>2</v>
      </c>
      <c r="D154" s="126" t="str">
        <f t="shared" si="19"/>
        <v xml:space="preserve"> 10 min</v>
      </c>
      <c r="E154" s="46" t="s">
        <v>210</v>
      </c>
      <c r="F154" s="263"/>
      <c r="G154" s="260"/>
      <c r="H154" s="151"/>
    </row>
    <row r="155" spans="2:8" s="43" customFormat="1" ht="52.5" customHeight="1" x14ac:dyDescent="0.3">
      <c r="B155" s="45" t="s">
        <v>60</v>
      </c>
      <c r="C155" s="45">
        <v>5</v>
      </c>
      <c r="D155" s="126" t="str">
        <f xml:space="preserve"> IF(C155="","",setValueToTime(C155))</f>
        <v xml:space="preserve"> 25 min</v>
      </c>
      <c r="E155" s="46" t="s">
        <v>211</v>
      </c>
      <c r="F155" s="259" t="s">
        <v>212</v>
      </c>
      <c r="G155" s="260"/>
      <c r="H155" s="151"/>
    </row>
    <row r="156" spans="2:8" s="43" customFormat="1" ht="27.75" thickBot="1" x14ac:dyDescent="0.35">
      <c r="B156" s="47" t="s">
        <v>31</v>
      </c>
      <c r="C156" s="47">
        <v>3</v>
      </c>
      <c r="D156" s="127" t="str">
        <f t="shared" si="19"/>
        <v xml:space="preserve"> 15 min</v>
      </c>
      <c r="E156" s="48" t="s">
        <v>203</v>
      </c>
      <c r="F156" s="261"/>
      <c r="G156" s="262"/>
      <c r="H156" s="151"/>
    </row>
    <row r="157" spans="2:8" s="43" customFormat="1" ht="15" thickBot="1" x14ac:dyDescent="0.35">
      <c r="B157" s="134" t="s">
        <v>44</v>
      </c>
      <c r="C157" s="66">
        <f>SUM(C150:C156)</f>
        <v>38</v>
      </c>
      <c r="D157" s="134" t="str">
        <f xml:space="preserve"> setValueToTime(C157)</f>
        <v>3h 10 min</v>
      </c>
      <c r="E157" s="95"/>
      <c r="F157" s="251"/>
      <c r="G157" s="252"/>
      <c r="H157" s="151"/>
    </row>
    <row r="158" spans="2:8" s="43" customFormat="1" ht="15" thickBot="1" x14ac:dyDescent="0.35">
      <c r="B158" s="60"/>
      <c r="C158" s="60"/>
      <c r="D158" s="60"/>
      <c r="E158" s="60"/>
      <c r="F158" s="60"/>
      <c r="G158" s="60"/>
      <c r="H158" s="151"/>
    </row>
    <row r="159" spans="2:8" s="39" customFormat="1" ht="30" customHeight="1" thickBot="1" x14ac:dyDescent="0.3">
      <c r="B159" s="128" t="s">
        <v>37</v>
      </c>
      <c r="C159" s="136">
        <v>8</v>
      </c>
      <c r="D159" s="136"/>
      <c r="E159" s="129" t="s">
        <v>38</v>
      </c>
      <c r="F159" s="130" t="s">
        <v>135</v>
      </c>
      <c r="G159" s="131" t="s">
        <v>68</v>
      </c>
      <c r="H159" s="150"/>
    </row>
    <row r="160" spans="2:8" s="39" customFormat="1" ht="30" customHeight="1" thickBot="1" x14ac:dyDescent="0.3">
      <c r="B160" s="61" t="s">
        <v>39</v>
      </c>
      <c r="C160" s="133" t="s">
        <v>40</v>
      </c>
      <c r="D160" s="132"/>
      <c r="E160" s="61" t="s">
        <v>41</v>
      </c>
      <c r="F160" s="253" t="s">
        <v>42</v>
      </c>
      <c r="G160" s="254"/>
      <c r="H160" s="150"/>
    </row>
    <row r="161" spans="2:8" s="43" customFormat="1" ht="54" x14ac:dyDescent="0.3">
      <c r="B161" s="40" t="s">
        <v>57</v>
      </c>
      <c r="C161" s="41">
        <v>12</v>
      </c>
      <c r="D161" s="124" t="str">
        <f xml:space="preserve"> IF(C161="","",setValueToTime(C161))</f>
        <v>1h</v>
      </c>
      <c r="E161" s="42" t="s">
        <v>198</v>
      </c>
      <c r="F161" s="264" t="s">
        <v>197</v>
      </c>
      <c r="G161" s="256"/>
      <c r="H161" s="151"/>
    </row>
    <row r="162" spans="2:8" s="43" customFormat="1" ht="27" x14ac:dyDescent="0.3">
      <c r="B162" s="44" t="s">
        <v>57</v>
      </c>
      <c r="C162" s="45">
        <v>6</v>
      </c>
      <c r="D162" s="125" t="str">
        <f t="shared" ref="D162:D165" si="20" xml:space="preserve"> IF(C162="","",setValueToTime(C162))</f>
        <v xml:space="preserve"> 30 min</v>
      </c>
      <c r="E162" s="46" t="s">
        <v>199</v>
      </c>
      <c r="F162" s="263"/>
      <c r="G162" s="260"/>
      <c r="H162" s="151"/>
    </row>
    <row r="163" spans="2:8" s="43" customFormat="1" ht="67.5" x14ac:dyDescent="0.3">
      <c r="B163" s="44" t="s">
        <v>58</v>
      </c>
      <c r="C163" s="45">
        <v>12</v>
      </c>
      <c r="D163" s="125" t="str">
        <f t="shared" si="20"/>
        <v>1h</v>
      </c>
      <c r="E163" s="46" t="s">
        <v>201</v>
      </c>
      <c r="F163" s="259" t="s">
        <v>200</v>
      </c>
      <c r="G163" s="260"/>
      <c r="H163" s="151"/>
    </row>
    <row r="164" spans="2:8" s="43" customFormat="1" ht="40.5" x14ac:dyDescent="0.3">
      <c r="B164" s="44" t="s">
        <v>58</v>
      </c>
      <c r="C164" s="45">
        <v>5</v>
      </c>
      <c r="D164" s="125" t="str">
        <f t="shared" si="20"/>
        <v xml:space="preserve"> 25 min</v>
      </c>
      <c r="E164" s="46" t="s">
        <v>202</v>
      </c>
      <c r="F164" s="263"/>
      <c r="G164" s="260"/>
      <c r="H164" s="151"/>
    </row>
    <row r="165" spans="2:8" s="43" customFormat="1" ht="27.75" thickBot="1" x14ac:dyDescent="0.35">
      <c r="B165" s="47" t="s">
        <v>31</v>
      </c>
      <c r="C165" s="47">
        <v>3</v>
      </c>
      <c r="D165" s="127" t="str">
        <f t="shared" si="20"/>
        <v xml:space="preserve"> 15 min</v>
      </c>
      <c r="E165" s="48" t="s">
        <v>203</v>
      </c>
      <c r="F165" s="261"/>
      <c r="G165" s="262"/>
      <c r="H165" s="151"/>
    </row>
    <row r="166" spans="2:8" s="43" customFormat="1" ht="15" thickBot="1" x14ac:dyDescent="0.35">
      <c r="B166" s="134" t="s">
        <v>44</v>
      </c>
      <c r="C166" s="66">
        <f>SUM(C161:C165)</f>
        <v>38</v>
      </c>
      <c r="D166" s="134" t="str">
        <f xml:space="preserve"> setValueToTime(C166)</f>
        <v>3h 10 min</v>
      </c>
      <c r="E166" s="95"/>
      <c r="F166" s="251"/>
      <c r="G166" s="252"/>
      <c r="H166" s="151"/>
    </row>
    <row r="167" spans="2:8" s="43" customFormat="1" ht="15" thickBot="1" x14ac:dyDescent="0.35">
      <c r="B167" s="60"/>
      <c r="C167" s="60"/>
      <c r="D167" s="60"/>
      <c r="E167" s="60"/>
      <c r="F167" s="60"/>
      <c r="G167" s="60"/>
      <c r="H167" s="151"/>
    </row>
    <row r="168" spans="2:8" s="39" customFormat="1" ht="30" customHeight="1" thickBot="1" x14ac:dyDescent="0.3">
      <c r="B168" s="128" t="s">
        <v>37</v>
      </c>
      <c r="C168" s="136">
        <v>7</v>
      </c>
      <c r="D168" s="136"/>
      <c r="E168" s="129" t="s">
        <v>38</v>
      </c>
      <c r="F168" s="130" t="s">
        <v>135</v>
      </c>
      <c r="G168" s="131" t="s">
        <v>66</v>
      </c>
      <c r="H168" s="150"/>
    </row>
    <row r="169" spans="2:8" s="39" customFormat="1" ht="30" customHeight="1" thickBot="1" x14ac:dyDescent="0.3">
      <c r="B169" s="61" t="s">
        <v>39</v>
      </c>
      <c r="C169" s="133" t="s">
        <v>40</v>
      </c>
      <c r="D169" s="132"/>
      <c r="E169" s="61" t="s">
        <v>41</v>
      </c>
      <c r="F169" s="253" t="s">
        <v>42</v>
      </c>
      <c r="G169" s="254"/>
      <c r="H169" s="150"/>
    </row>
    <row r="170" spans="2:8" s="43" customFormat="1" ht="40.5" x14ac:dyDescent="0.3">
      <c r="B170" s="40" t="s">
        <v>56</v>
      </c>
      <c r="C170" s="41">
        <v>12</v>
      </c>
      <c r="D170" s="124" t="str">
        <f xml:space="preserve"> IF(C170="","",setValueToTime(C170))</f>
        <v>1h</v>
      </c>
      <c r="E170" s="42" t="s">
        <v>190</v>
      </c>
      <c r="F170" s="255"/>
      <c r="G170" s="256"/>
      <c r="H170" s="151"/>
    </row>
    <row r="171" spans="2:8" s="43" customFormat="1" ht="40.5" x14ac:dyDescent="0.3">
      <c r="B171" s="44" t="s">
        <v>56</v>
      </c>
      <c r="C171" s="45">
        <v>3</v>
      </c>
      <c r="D171" s="125" t="str">
        <f t="shared" ref="D171:D175" si="21" xml:space="preserve"> IF(C171="","",setValueToTime(C171))</f>
        <v xml:space="preserve"> 15 min</v>
      </c>
      <c r="E171" s="46" t="s">
        <v>193</v>
      </c>
      <c r="F171" s="259" t="s">
        <v>192</v>
      </c>
      <c r="G171" s="260"/>
      <c r="H171" s="151"/>
    </row>
    <row r="172" spans="2:8" s="43" customFormat="1" ht="40.5" x14ac:dyDescent="0.3">
      <c r="B172" s="44" t="s">
        <v>179</v>
      </c>
      <c r="C172" s="45">
        <v>2</v>
      </c>
      <c r="D172" s="125" t="str">
        <f t="shared" ref="D172" si="22" xml:space="preserve"> IF(C172="","",setValueToTime(C172))</f>
        <v xml:space="preserve"> 10 min</v>
      </c>
      <c r="E172" s="46" t="s">
        <v>191</v>
      </c>
      <c r="F172" s="263"/>
      <c r="G172" s="260"/>
      <c r="H172" s="151"/>
    </row>
    <row r="173" spans="2:8" s="43" customFormat="1" ht="40.5" x14ac:dyDescent="0.3">
      <c r="B173" s="44" t="s">
        <v>33</v>
      </c>
      <c r="C173" s="45">
        <v>12</v>
      </c>
      <c r="D173" s="125" t="str">
        <f t="shared" si="21"/>
        <v>1h</v>
      </c>
      <c r="E173" s="183" t="s">
        <v>195</v>
      </c>
      <c r="F173" s="263"/>
      <c r="G173" s="260"/>
      <c r="H173" s="151"/>
    </row>
    <row r="174" spans="2:8" s="43" customFormat="1" ht="27" x14ac:dyDescent="0.3">
      <c r="B174" s="45" t="s">
        <v>33</v>
      </c>
      <c r="C174" s="45">
        <v>6</v>
      </c>
      <c r="D174" s="126" t="str">
        <f t="shared" si="21"/>
        <v xml:space="preserve"> 30 min</v>
      </c>
      <c r="E174" s="183" t="s">
        <v>196</v>
      </c>
      <c r="F174" s="263"/>
      <c r="G174" s="260"/>
      <c r="H174" s="151"/>
    </row>
    <row r="175" spans="2:8" s="43" customFormat="1" ht="27.75" thickBot="1" x14ac:dyDescent="0.35">
      <c r="B175" s="47" t="s">
        <v>31</v>
      </c>
      <c r="C175" s="47">
        <v>3</v>
      </c>
      <c r="D175" s="127" t="str">
        <f t="shared" si="21"/>
        <v xml:space="preserve"> 15 min</v>
      </c>
      <c r="E175" s="48" t="s">
        <v>204</v>
      </c>
      <c r="F175" s="261"/>
      <c r="G175" s="262"/>
      <c r="H175" s="151"/>
    </row>
    <row r="176" spans="2:8" s="43" customFormat="1" ht="15" thickBot="1" x14ac:dyDescent="0.35">
      <c r="B176" s="134" t="s">
        <v>44</v>
      </c>
      <c r="C176" s="66">
        <f>SUM(C170:C175)</f>
        <v>38</v>
      </c>
      <c r="D176" s="134" t="str">
        <f xml:space="preserve"> setValueToTime(C176)</f>
        <v>3h 10 min</v>
      </c>
      <c r="E176" s="95"/>
      <c r="F176" s="251"/>
      <c r="G176" s="252"/>
      <c r="H176" s="151"/>
    </row>
    <row r="177" spans="2:8" s="43" customFormat="1" ht="15" thickBot="1" x14ac:dyDescent="0.35">
      <c r="B177" s="60"/>
      <c r="C177" s="60"/>
      <c r="D177" s="60"/>
      <c r="E177" s="60"/>
      <c r="F177" s="60"/>
      <c r="G177" s="60"/>
      <c r="H177" s="151"/>
    </row>
    <row r="178" spans="2:8" s="39" customFormat="1" ht="30" customHeight="1" thickBot="1" x14ac:dyDescent="0.3">
      <c r="B178" s="128" t="s">
        <v>37</v>
      </c>
      <c r="C178" s="136">
        <v>6</v>
      </c>
      <c r="D178" s="136"/>
      <c r="E178" s="129" t="s">
        <v>38</v>
      </c>
      <c r="F178" s="130" t="s">
        <v>138</v>
      </c>
      <c r="G178" s="131" t="s">
        <v>68</v>
      </c>
      <c r="H178" s="150"/>
    </row>
    <row r="179" spans="2:8" s="39" customFormat="1" ht="30" customHeight="1" thickBot="1" x14ac:dyDescent="0.3">
      <c r="B179" s="61" t="s">
        <v>39</v>
      </c>
      <c r="C179" s="133" t="s">
        <v>40</v>
      </c>
      <c r="D179" s="132"/>
      <c r="E179" s="61" t="s">
        <v>41</v>
      </c>
      <c r="F179" s="253" t="s">
        <v>42</v>
      </c>
      <c r="G179" s="254"/>
      <c r="H179" s="150"/>
    </row>
    <row r="180" spans="2:8" s="43" customFormat="1" ht="27" x14ac:dyDescent="0.3">
      <c r="B180" s="40" t="s">
        <v>30</v>
      </c>
      <c r="C180" s="41">
        <v>9</v>
      </c>
      <c r="D180" s="124" t="str">
        <f xml:space="preserve"> IF(C180="","",setValueToTime(C180))</f>
        <v xml:space="preserve"> 45 min</v>
      </c>
      <c r="E180" s="42" t="s">
        <v>184</v>
      </c>
      <c r="F180" s="245"/>
      <c r="G180" s="246"/>
      <c r="H180" s="151"/>
    </row>
    <row r="181" spans="2:8" s="43" customFormat="1" ht="27" x14ac:dyDescent="0.3">
      <c r="B181" s="44" t="s">
        <v>49</v>
      </c>
      <c r="C181" s="45">
        <v>7</v>
      </c>
      <c r="D181" s="125" t="str">
        <f t="shared" ref="D181:D183" si="23" xml:space="preserve"> IF(C181="","",setValueToTime(C181))</f>
        <v xml:space="preserve"> 35 min</v>
      </c>
      <c r="E181" s="46" t="s">
        <v>188</v>
      </c>
      <c r="F181" s="247"/>
      <c r="G181" s="248"/>
      <c r="H181" s="151"/>
    </row>
    <row r="182" spans="2:8" s="43" customFormat="1" ht="27" x14ac:dyDescent="0.3">
      <c r="B182" s="44" t="s">
        <v>56</v>
      </c>
      <c r="C182" s="45">
        <v>6</v>
      </c>
      <c r="D182" s="125" t="str">
        <f t="shared" si="23"/>
        <v xml:space="preserve"> 30 min</v>
      </c>
      <c r="E182" s="46" t="s">
        <v>189</v>
      </c>
      <c r="F182" s="247"/>
      <c r="G182" s="248"/>
      <c r="H182" s="151"/>
    </row>
    <row r="183" spans="2:8" s="43" customFormat="1" ht="27.75" thickBot="1" x14ac:dyDescent="0.35">
      <c r="B183" s="47" t="s">
        <v>31</v>
      </c>
      <c r="C183" s="47">
        <v>4</v>
      </c>
      <c r="D183" s="127" t="str">
        <f t="shared" si="23"/>
        <v xml:space="preserve"> 20 min</v>
      </c>
      <c r="E183" s="48" t="s">
        <v>154</v>
      </c>
      <c r="F183" s="239"/>
      <c r="G183" s="240"/>
      <c r="H183" s="151"/>
    </row>
    <row r="184" spans="2:8" s="43" customFormat="1" ht="15" thickBot="1" x14ac:dyDescent="0.35">
      <c r="B184" s="134" t="s">
        <v>44</v>
      </c>
      <c r="C184" s="66">
        <f>SUM(C180:C183)</f>
        <v>26</v>
      </c>
      <c r="D184" s="134" t="str">
        <f xml:space="preserve"> setValueToTime(C184)</f>
        <v>2h 10 min</v>
      </c>
      <c r="E184" s="95"/>
      <c r="F184" s="251"/>
      <c r="G184" s="252"/>
      <c r="H184" s="151"/>
    </row>
    <row r="185" spans="2:8" s="43" customFormat="1" ht="15" thickBot="1" x14ac:dyDescent="0.35">
      <c r="B185" s="60"/>
      <c r="C185" s="60"/>
      <c r="D185" s="60"/>
      <c r="E185" s="60"/>
      <c r="F185" s="60"/>
      <c r="G185" s="60"/>
      <c r="H185" s="151"/>
    </row>
    <row r="186" spans="2:8" s="39" customFormat="1" ht="30" customHeight="1" thickBot="1" x14ac:dyDescent="0.3">
      <c r="B186" s="128" t="s">
        <v>37</v>
      </c>
      <c r="C186" s="136">
        <v>5</v>
      </c>
      <c r="D186" s="136"/>
      <c r="E186" s="129" t="s">
        <v>38</v>
      </c>
      <c r="F186" s="130" t="s">
        <v>138</v>
      </c>
      <c r="G186" s="131" t="s">
        <v>66</v>
      </c>
      <c r="H186" s="150"/>
    </row>
    <row r="187" spans="2:8" s="39" customFormat="1" ht="30" customHeight="1" thickBot="1" x14ac:dyDescent="0.3">
      <c r="B187" s="61" t="s">
        <v>39</v>
      </c>
      <c r="C187" s="133" t="s">
        <v>40</v>
      </c>
      <c r="D187" s="132"/>
      <c r="E187" s="61" t="s">
        <v>41</v>
      </c>
      <c r="F187" s="253" t="s">
        <v>42</v>
      </c>
      <c r="G187" s="254"/>
      <c r="H187" s="150"/>
    </row>
    <row r="188" spans="2:8" s="43" customFormat="1" ht="40.5" x14ac:dyDescent="0.3">
      <c r="B188" s="40" t="s">
        <v>53</v>
      </c>
      <c r="C188" s="41">
        <v>8</v>
      </c>
      <c r="D188" s="124" t="str">
        <f xml:space="preserve"> IF(C188="","",setValueToTime(C188))</f>
        <v xml:space="preserve"> 40 min</v>
      </c>
      <c r="E188" s="42" t="s">
        <v>171</v>
      </c>
      <c r="F188" s="264" t="s">
        <v>185</v>
      </c>
      <c r="G188" s="256"/>
      <c r="H188" s="151"/>
    </row>
    <row r="189" spans="2:8" s="43" customFormat="1" x14ac:dyDescent="0.3">
      <c r="B189" s="44" t="s">
        <v>28</v>
      </c>
      <c r="C189" s="45">
        <v>3</v>
      </c>
      <c r="D189" s="125" t="str">
        <f t="shared" ref="D189:D195" si="24" xml:space="preserve"> IF(C189="","",setValueToTime(C189))</f>
        <v xml:space="preserve"> 15 min</v>
      </c>
      <c r="E189" s="46" t="s">
        <v>172</v>
      </c>
      <c r="F189" s="263"/>
      <c r="G189" s="260"/>
      <c r="H189" s="151"/>
    </row>
    <row r="190" spans="2:8" s="43" customFormat="1" ht="27" x14ac:dyDescent="0.3">
      <c r="B190" s="44" t="s">
        <v>54</v>
      </c>
      <c r="C190" s="45">
        <v>1</v>
      </c>
      <c r="D190" s="125" t="str">
        <f t="shared" si="24"/>
        <v xml:space="preserve"> 5 min</v>
      </c>
      <c r="E190" s="46" t="s">
        <v>173</v>
      </c>
      <c r="F190" s="263"/>
      <c r="G190" s="260"/>
      <c r="H190" s="151"/>
    </row>
    <row r="191" spans="2:8" s="43" customFormat="1" ht="27" x14ac:dyDescent="0.3">
      <c r="B191" s="44" t="s">
        <v>55</v>
      </c>
      <c r="C191" s="45">
        <v>5</v>
      </c>
      <c r="D191" s="125" t="str">
        <f t="shared" si="24"/>
        <v xml:space="preserve"> 25 min</v>
      </c>
      <c r="E191" s="46" t="s">
        <v>175</v>
      </c>
      <c r="F191" s="259" t="s">
        <v>176</v>
      </c>
      <c r="G191" s="260"/>
      <c r="H191" s="151"/>
    </row>
    <row r="192" spans="2:8" s="43" customFormat="1" ht="27" x14ac:dyDescent="0.3">
      <c r="B192" s="45" t="s">
        <v>49</v>
      </c>
      <c r="C192" s="45">
        <v>2</v>
      </c>
      <c r="D192" s="126" t="str">
        <f t="shared" si="24"/>
        <v xml:space="preserve"> 10 min</v>
      </c>
      <c r="E192" s="46" t="s">
        <v>186</v>
      </c>
      <c r="F192" s="259" t="s">
        <v>187</v>
      </c>
      <c r="G192" s="260"/>
      <c r="H192" s="151"/>
    </row>
    <row r="193" spans="2:8" s="43" customFormat="1" ht="27" x14ac:dyDescent="0.3">
      <c r="B193" s="45" t="s">
        <v>30</v>
      </c>
      <c r="C193" s="45">
        <v>12</v>
      </c>
      <c r="D193" s="126" t="str">
        <f t="shared" ref="D193" si="25" xml:space="preserve"> IF(C193="","",setValueToTime(C193))</f>
        <v>1h</v>
      </c>
      <c r="E193" s="46" t="s">
        <v>177</v>
      </c>
      <c r="F193" s="259" t="s">
        <v>180</v>
      </c>
      <c r="G193" s="260"/>
      <c r="H193" s="151"/>
    </row>
    <row r="194" spans="2:8" s="43" customFormat="1" ht="27" x14ac:dyDescent="0.3">
      <c r="B194" s="45" t="s">
        <v>30</v>
      </c>
      <c r="C194" s="45">
        <v>4</v>
      </c>
      <c r="D194" s="126" t="str">
        <f t="shared" si="24"/>
        <v xml:space="preserve"> 20 min</v>
      </c>
      <c r="E194" s="46" t="s">
        <v>181</v>
      </c>
      <c r="F194" s="263"/>
      <c r="G194" s="260"/>
      <c r="H194" s="151"/>
    </row>
    <row r="195" spans="2:8" s="43" customFormat="1" ht="27.75" thickBot="1" x14ac:dyDescent="0.35">
      <c r="B195" s="47" t="s">
        <v>31</v>
      </c>
      <c r="C195" s="47">
        <v>3</v>
      </c>
      <c r="D195" s="127" t="str">
        <f t="shared" si="24"/>
        <v xml:space="preserve"> 15 min</v>
      </c>
      <c r="E195" s="48" t="s">
        <v>154</v>
      </c>
      <c r="F195" s="261"/>
      <c r="G195" s="262"/>
      <c r="H195" s="151"/>
    </row>
    <row r="196" spans="2:8" s="43" customFormat="1" ht="15" thickBot="1" x14ac:dyDescent="0.35">
      <c r="B196" s="134" t="s">
        <v>44</v>
      </c>
      <c r="C196" s="66">
        <f>SUM(C188:C195)</f>
        <v>38</v>
      </c>
      <c r="D196" s="134" t="str">
        <f xml:space="preserve"> setValueToTime(C196)</f>
        <v>3h 10 min</v>
      </c>
      <c r="E196" s="95"/>
      <c r="F196" s="251"/>
      <c r="G196" s="252"/>
      <c r="H196" s="151"/>
    </row>
    <row r="197" spans="2:8" s="43" customFormat="1" ht="15" thickBot="1" x14ac:dyDescent="0.35">
      <c r="B197" s="60"/>
      <c r="C197" s="60"/>
      <c r="D197" s="60"/>
      <c r="E197" s="60"/>
      <c r="F197" s="60"/>
      <c r="G197" s="60"/>
      <c r="H197" s="151"/>
    </row>
    <row r="198" spans="2:8" s="39" customFormat="1" ht="30" customHeight="1" thickBot="1" x14ac:dyDescent="0.3">
      <c r="B198" s="128" t="s">
        <v>37</v>
      </c>
      <c r="C198" s="136">
        <v>4</v>
      </c>
      <c r="D198" s="136"/>
      <c r="E198" s="129" t="s">
        <v>38</v>
      </c>
      <c r="F198" s="130" t="s">
        <v>141</v>
      </c>
      <c r="G198" s="131" t="s">
        <v>68</v>
      </c>
      <c r="H198" s="150"/>
    </row>
    <row r="199" spans="2:8" s="39" customFormat="1" ht="30" customHeight="1" thickBot="1" x14ac:dyDescent="0.3">
      <c r="B199" s="61" t="s">
        <v>39</v>
      </c>
      <c r="C199" s="133" t="s">
        <v>40</v>
      </c>
      <c r="D199" s="132"/>
      <c r="E199" s="61" t="s">
        <v>41</v>
      </c>
      <c r="F199" s="253" t="s">
        <v>42</v>
      </c>
      <c r="G199" s="254"/>
      <c r="H199" s="150"/>
    </row>
    <row r="200" spans="2:8" s="43" customFormat="1" ht="27" x14ac:dyDescent="0.3">
      <c r="B200" s="40" t="s">
        <v>52</v>
      </c>
      <c r="C200" s="41">
        <v>12</v>
      </c>
      <c r="D200" s="124" t="str">
        <f xml:space="preserve"> IF(C200="","",setValueToTime(C200))</f>
        <v>1h</v>
      </c>
      <c r="E200" s="42" t="s">
        <v>155</v>
      </c>
      <c r="F200" s="264" t="s">
        <v>157</v>
      </c>
      <c r="G200" s="256"/>
      <c r="H200" s="151"/>
    </row>
    <row r="201" spans="2:8" s="43" customFormat="1" ht="27" x14ac:dyDescent="0.3">
      <c r="B201" s="44" t="s">
        <v>52</v>
      </c>
      <c r="C201" s="45">
        <v>12</v>
      </c>
      <c r="D201" s="125" t="str">
        <f t="shared" ref="D201:D206" si="26" xml:space="preserve"> IF(C201="","",setValueToTime(C201))</f>
        <v>1h</v>
      </c>
      <c r="E201" s="46" t="s">
        <v>160</v>
      </c>
      <c r="F201" s="259" t="s">
        <v>158</v>
      </c>
      <c r="G201" s="260"/>
      <c r="H201" s="151"/>
    </row>
    <row r="202" spans="2:8" s="43" customFormat="1" ht="27" x14ac:dyDescent="0.3">
      <c r="B202" s="44" t="s">
        <v>52</v>
      </c>
      <c r="C202" s="45">
        <v>4</v>
      </c>
      <c r="D202" s="125" t="str">
        <f t="shared" ref="D202" si="27" xml:space="preserve"> IF(C202="","",setValueToTime(C202))</f>
        <v xml:space="preserve"> 20 min</v>
      </c>
      <c r="E202" s="46" t="s">
        <v>167</v>
      </c>
      <c r="F202" s="259" t="s">
        <v>169</v>
      </c>
      <c r="G202" s="260"/>
      <c r="H202" s="151"/>
    </row>
    <row r="203" spans="2:8" s="43" customFormat="1" x14ac:dyDescent="0.3">
      <c r="B203" s="44" t="s">
        <v>28</v>
      </c>
      <c r="C203" s="45">
        <v>2</v>
      </c>
      <c r="D203" s="125" t="str">
        <f t="shared" si="26"/>
        <v xml:space="preserve"> 10 min</v>
      </c>
      <c r="E203" s="46" t="s">
        <v>161</v>
      </c>
      <c r="F203" s="263"/>
      <c r="G203" s="260"/>
      <c r="H203" s="151"/>
    </row>
    <row r="204" spans="2:8" s="43" customFormat="1" ht="40.5" x14ac:dyDescent="0.3">
      <c r="B204" s="45" t="s">
        <v>52</v>
      </c>
      <c r="C204" s="45">
        <v>4</v>
      </c>
      <c r="D204" s="126" t="str">
        <f xml:space="preserve"> IF(C204="","",setValueToTime(C204))</f>
        <v xml:space="preserve"> 20 min</v>
      </c>
      <c r="E204" s="46" t="s">
        <v>170</v>
      </c>
      <c r="F204" s="263"/>
      <c r="G204" s="260"/>
      <c r="H204" s="151"/>
    </row>
    <row r="205" spans="2:8" s="43" customFormat="1" ht="27" x14ac:dyDescent="0.3">
      <c r="B205" s="45" t="s">
        <v>54</v>
      </c>
      <c r="C205" s="45">
        <v>1</v>
      </c>
      <c r="D205" s="126" t="str">
        <f xml:space="preserve"> IF(C205="","",setValueToTime(C205))</f>
        <v xml:space="preserve"> 5 min</v>
      </c>
      <c r="E205" s="46" t="s">
        <v>174</v>
      </c>
      <c r="F205" s="263"/>
      <c r="G205" s="260"/>
      <c r="H205" s="151"/>
    </row>
    <row r="206" spans="2:8" s="43" customFormat="1" ht="27.75" thickBot="1" x14ac:dyDescent="0.35">
      <c r="B206" s="47" t="s">
        <v>31</v>
      </c>
      <c r="C206" s="47">
        <v>3</v>
      </c>
      <c r="D206" s="127" t="str">
        <f t="shared" si="26"/>
        <v xml:space="preserve"> 15 min</v>
      </c>
      <c r="E206" s="48" t="s">
        <v>168</v>
      </c>
      <c r="F206" s="261"/>
      <c r="G206" s="262"/>
      <c r="H206" s="151"/>
    </row>
    <row r="207" spans="2:8" s="43" customFormat="1" ht="15" thickBot="1" x14ac:dyDescent="0.35">
      <c r="B207" s="134" t="s">
        <v>44</v>
      </c>
      <c r="C207" s="66">
        <f>SUM(C200:C206)</f>
        <v>38</v>
      </c>
      <c r="D207" s="134" t="str">
        <f xml:space="preserve"> setValueToTime(C207)</f>
        <v>3h 10 min</v>
      </c>
      <c r="E207" s="95"/>
      <c r="F207" s="251"/>
      <c r="G207" s="252"/>
      <c r="H207" s="151"/>
    </row>
    <row r="208" spans="2:8" s="43" customFormat="1" ht="15" thickBot="1" x14ac:dyDescent="0.35">
      <c r="B208" s="60"/>
      <c r="C208" s="60"/>
      <c r="D208" s="60"/>
      <c r="E208" s="60"/>
      <c r="F208" s="60"/>
      <c r="G208" s="60"/>
      <c r="H208" s="151"/>
    </row>
    <row r="209" spans="2:8" s="39" customFormat="1" ht="30" customHeight="1" thickBot="1" x14ac:dyDescent="0.3">
      <c r="B209" s="128" t="s">
        <v>37</v>
      </c>
      <c r="C209" s="136">
        <v>3</v>
      </c>
      <c r="D209" s="136"/>
      <c r="E209" s="129" t="s">
        <v>38</v>
      </c>
      <c r="F209" s="130" t="s">
        <v>141</v>
      </c>
      <c r="G209" s="131" t="s">
        <v>66</v>
      </c>
      <c r="H209" s="150"/>
    </row>
    <row r="210" spans="2:8" s="39" customFormat="1" ht="30" customHeight="1" thickBot="1" x14ac:dyDescent="0.3">
      <c r="B210" s="61" t="s">
        <v>39</v>
      </c>
      <c r="C210" s="133" t="s">
        <v>40</v>
      </c>
      <c r="D210" s="132"/>
      <c r="E210" s="61" t="s">
        <v>41</v>
      </c>
      <c r="F210" s="253" t="s">
        <v>42</v>
      </c>
      <c r="G210" s="254"/>
      <c r="H210" s="150"/>
    </row>
    <row r="211" spans="2:8" s="43" customFormat="1" ht="27" x14ac:dyDescent="0.3">
      <c r="B211" s="40" t="s">
        <v>48</v>
      </c>
      <c r="C211" s="41">
        <v>6</v>
      </c>
      <c r="D211" s="124" t="str">
        <f xml:space="preserve"> IF(C211="","",setValueToTime(C211))</f>
        <v xml:space="preserve"> 30 min</v>
      </c>
      <c r="E211" s="42" t="s">
        <v>146</v>
      </c>
      <c r="F211" s="255"/>
      <c r="G211" s="256"/>
      <c r="H211" s="151"/>
    </row>
    <row r="212" spans="2:8" s="43" customFormat="1" ht="231.75" customHeight="1" x14ac:dyDescent="0.3">
      <c r="B212" s="44" t="s">
        <v>47</v>
      </c>
      <c r="C212" s="45">
        <v>9</v>
      </c>
      <c r="D212" s="125" t="str">
        <f t="shared" ref="D212:D219" si="28" xml:space="preserve"> IF(C212="","",setValueToTime(C212))</f>
        <v xml:space="preserve"> 45 min</v>
      </c>
      <c r="E212" s="46" t="s">
        <v>147</v>
      </c>
      <c r="F212" s="259" t="s">
        <v>194</v>
      </c>
      <c r="G212" s="260"/>
      <c r="H212" s="151"/>
    </row>
    <row r="213" spans="2:8" s="43" customFormat="1" ht="27" x14ac:dyDescent="0.3">
      <c r="B213" s="44" t="s">
        <v>52</v>
      </c>
      <c r="C213" s="45">
        <v>12</v>
      </c>
      <c r="D213" s="125" t="str">
        <f xml:space="preserve"> IF(C213="","",setValueToTime(C213))</f>
        <v>1h</v>
      </c>
      <c r="E213" s="200" t="s">
        <v>148</v>
      </c>
      <c r="F213" s="259" t="s">
        <v>156</v>
      </c>
      <c r="G213" s="260"/>
      <c r="H213" s="151"/>
    </row>
    <row r="214" spans="2:8" s="43" customFormat="1" ht="27" x14ac:dyDescent="0.3">
      <c r="B214" s="44" t="s">
        <v>52</v>
      </c>
      <c r="C214" s="45">
        <v>6</v>
      </c>
      <c r="D214" s="125" t="str">
        <f t="shared" si="28"/>
        <v xml:space="preserve"> 30 min</v>
      </c>
      <c r="E214" s="46" t="s">
        <v>152</v>
      </c>
      <c r="F214" s="263"/>
      <c r="G214" s="260"/>
      <c r="H214" s="151"/>
    </row>
    <row r="215" spans="2:8" s="43" customFormat="1" x14ac:dyDescent="0.3">
      <c r="B215" s="45" t="s">
        <v>28</v>
      </c>
      <c r="C215" s="45">
        <v>2</v>
      </c>
      <c r="D215" s="126" t="str">
        <f xml:space="preserve"> IF(C215="","",setValueToTime(C215))</f>
        <v xml:space="preserve"> 10 min</v>
      </c>
      <c r="E215" s="46" t="s">
        <v>149</v>
      </c>
      <c r="F215" s="263"/>
      <c r="G215" s="260"/>
      <c r="H215" s="151"/>
    </row>
    <row r="216" spans="2:8" s="43" customFormat="1" ht="40.5" x14ac:dyDescent="0.3">
      <c r="B216" s="45" t="s">
        <v>53</v>
      </c>
      <c r="C216" s="45">
        <v>1</v>
      </c>
      <c r="D216" s="126" t="str">
        <f t="shared" si="28"/>
        <v xml:space="preserve"> 5 min</v>
      </c>
      <c r="E216" s="46" t="s">
        <v>150</v>
      </c>
      <c r="F216" s="263"/>
      <c r="G216" s="260"/>
      <c r="H216" s="151"/>
    </row>
    <row r="217" spans="2:8" s="43" customFormat="1" ht="27" x14ac:dyDescent="0.3">
      <c r="B217" s="45" t="s">
        <v>55</v>
      </c>
      <c r="C217" s="45">
        <v>1</v>
      </c>
      <c r="D217" s="126" t="str">
        <f t="shared" ref="D217" si="29" xml:space="preserve"> IF(C217="","",setValueToTime(C217))</f>
        <v xml:space="preserve"> 5 min</v>
      </c>
      <c r="E217" s="46" t="s">
        <v>151</v>
      </c>
      <c r="F217" s="263"/>
      <c r="G217" s="260"/>
      <c r="H217" s="151"/>
    </row>
    <row r="218" spans="2:8" s="43" customFormat="1" ht="40.5" x14ac:dyDescent="0.3">
      <c r="B218" s="45" t="s">
        <v>52</v>
      </c>
      <c r="C218" s="45">
        <v>6</v>
      </c>
      <c r="D218" s="126" t="str">
        <f xml:space="preserve"> IF(C218="","",setValueToTime(C218))</f>
        <v xml:space="preserve"> 30 min</v>
      </c>
      <c r="E218" s="46" t="s">
        <v>159</v>
      </c>
      <c r="F218" s="259" t="s">
        <v>153</v>
      </c>
      <c r="G218" s="260"/>
      <c r="H218" s="151"/>
    </row>
    <row r="219" spans="2:8" s="43" customFormat="1" ht="27.75" thickBot="1" x14ac:dyDescent="0.35">
      <c r="B219" s="47" t="s">
        <v>31</v>
      </c>
      <c r="C219" s="47">
        <v>5</v>
      </c>
      <c r="D219" s="127" t="str">
        <f t="shared" si="28"/>
        <v xml:space="preserve"> 25 min</v>
      </c>
      <c r="E219" s="48" t="s">
        <v>154</v>
      </c>
      <c r="F219" s="261"/>
      <c r="G219" s="262"/>
      <c r="H219" s="151"/>
    </row>
    <row r="220" spans="2:8" s="43" customFormat="1" ht="15" thickBot="1" x14ac:dyDescent="0.35">
      <c r="B220" s="134" t="s">
        <v>44</v>
      </c>
      <c r="C220" s="66">
        <f>SUM(C211:C219)</f>
        <v>48</v>
      </c>
      <c r="D220" s="134" t="str">
        <f xml:space="preserve"> setValueToTime(C220)</f>
        <v>4h</v>
      </c>
      <c r="E220" s="95"/>
      <c r="F220" s="251"/>
      <c r="G220" s="252"/>
      <c r="H220" s="151"/>
    </row>
    <row r="221" spans="2:8" s="43" customFormat="1" ht="15" thickBot="1" x14ac:dyDescent="0.35">
      <c r="B221" s="60"/>
      <c r="C221" s="60"/>
      <c r="D221" s="60"/>
      <c r="E221" s="60"/>
      <c r="F221" s="60"/>
      <c r="G221" s="60"/>
      <c r="H221" s="151"/>
    </row>
    <row r="222" spans="2:8" s="39" customFormat="1" ht="30" customHeight="1" thickBot="1" x14ac:dyDescent="0.3">
      <c r="B222" s="128" t="s">
        <v>37</v>
      </c>
      <c r="C222" s="136">
        <v>2</v>
      </c>
      <c r="D222" s="136"/>
      <c r="E222" s="129" t="s">
        <v>38</v>
      </c>
      <c r="F222" s="130" t="s">
        <v>142</v>
      </c>
      <c r="G222" s="131" t="s">
        <v>68</v>
      </c>
      <c r="H222" s="150"/>
    </row>
    <row r="223" spans="2:8" s="39" customFormat="1" ht="30" customHeight="1" thickBot="1" x14ac:dyDescent="0.3">
      <c r="B223" s="61" t="s">
        <v>39</v>
      </c>
      <c r="C223" s="133" t="s">
        <v>40</v>
      </c>
      <c r="D223" s="132"/>
      <c r="E223" s="61" t="s">
        <v>41</v>
      </c>
      <c r="F223" s="253" t="s">
        <v>42</v>
      </c>
      <c r="G223" s="254"/>
      <c r="H223" s="150"/>
    </row>
    <row r="224" spans="2:8" s="43" customFormat="1" ht="27" x14ac:dyDescent="0.3">
      <c r="B224" s="40" t="s">
        <v>30</v>
      </c>
      <c r="C224" s="41">
        <v>12</v>
      </c>
      <c r="D224" s="124" t="str">
        <f xml:space="preserve"> IF(C224="","",setValueToTime(C224))</f>
        <v>1h</v>
      </c>
      <c r="E224" s="42" t="s">
        <v>165</v>
      </c>
      <c r="F224" s="255"/>
      <c r="G224" s="256"/>
      <c r="H224" s="151"/>
    </row>
    <row r="225" spans="2:8" s="43" customFormat="1" ht="27" x14ac:dyDescent="0.3">
      <c r="B225" s="44" t="s">
        <v>30</v>
      </c>
      <c r="C225" s="45">
        <v>12</v>
      </c>
      <c r="D225" s="125" t="str">
        <f t="shared" ref="D225:D227" si="30" xml:space="preserve"> IF(C225="","",setValueToTime(C225))</f>
        <v>1h</v>
      </c>
      <c r="E225" s="46" t="s">
        <v>166</v>
      </c>
      <c r="F225" s="263"/>
      <c r="G225" s="260"/>
      <c r="H225" s="151"/>
    </row>
    <row r="226" spans="2:8" s="43" customFormat="1" ht="27" x14ac:dyDescent="0.3">
      <c r="B226" s="44" t="s">
        <v>30</v>
      </c>
      <c r="C226" s="45">
        <v>11</v>
      </c>
      <c r="D226" s="125" t="str">
        <f t="shared" si="30"/>
        <v xml:space="preserve"> 55 min</v>
      </c>
      <c r="E226" s="46" t="s">
        <v>164</v>
      </c>
      <c r="F226" s="263"/>
      <c r="G226" s="260"/>
      <c r="H226" s="151"/>
    </row>
    <row r="227" spans="2:8" s="43" customFormat="1" ht="27.75" thickBot="1" x14ac:dyDescent="0.35">
      <c r="B227" s="47" t="s">
        <v>31</v>
      </c>
      <c r="C227" s="47">
        <v>3</v>
      </c>
      <c r="D227" s="127" t="str">
        <f t="shared" si="30"/>
        <v xml:space="preserve"> 15 min</v>
      </c>
      <c r="E227" s="48" t="s">
        <v>154</v>
      </c>
      <c r="F227" s="261"/>
      <c r="G227" s="262"/>
      <c r="H227" s="151"/>
    </row>
    <row r="228" spans="2:8" s="43" customFormat="1" ht="15" thickBot="1" x14ac:dyDescent="0.35">
      <c r="B228" s="134" t="s">
        <v>44</v>
      </c>
      <c r="C228" s="66">
        <f>SUM(C224:C227)</f>
        <v>38</v>
      </c>
      <c r="D228" s="134" t="str">
        <f xml:space="preserve"> setValueToTime(C228)</f>
        <v>3h 10 min</v>
      </c>
      <c r="E228" s="95"/>
      <c r="F228" s="251"/>
      <c r="G228" s="252"/>
      <c r="H228" s="151"/>
    </row>
    <row r="229" spans="2:8" s="43" customFormat="1" ht="15" thickBot="1" x14ac:dyDescent="0.35">
      <c r="B229" s="60"/>
      <c r="C229" s="60"/>
      <c r="D229" s="60"/>
      <c r="E229" s="60"/>
      <c r="F229" s="60"/>
      <c r="G229" s="60"/>
      <c r="H229" s="151"/>
    </row>
    <row r="230" spans="2:8" s="39" customFormat="1" ht="30" customHeight="1" thickBot="1" x14ac:dyDescent="0.3">
      <c r="B230" s="128" t="s">
        <v>37</v>
      </c>
      <c r="C230" s="136">
        <v>1</v>
      </c>
      <c r="D230" s="136"/>
      <c r="E230" s="129" t="s">
        <v>38</v>
      </c>
      <c r="F230" s="130" t="s">
        <v>142</v>
      </c>
      <c r="G230" s="131" t="s">
        <v>66</v>
      </c>
      <c r="H230" s="150"/>
    </row>
    <row r="231" spans="2:8" s="39" customFormat="1" ht="30" customHeight="1" thickBot="1" x14ac:dyDescent="0.3">
      <c r="B231" s="61" t="s">
        <v>39</v>
      </c>
      <c r="C231" s="133" t="s">
        <v>40</v>
      </c>
      <c r="D231" s="132"/>
      <c r="E231" s="61" t="s">
        <v>41</v>
      </c>
      <c r="F231" s="253" t="s">
        <v>42</v>
      </c>
      <c r="G231" s="254"/>
      <c r="H231" s="150"/>
    </row>
    <row r="232" spans="2:8" s="43" customFormat="1" ht="40.5" x14ac:dyDescent="0.3">
      <c r="B232" s="40" t="s">
        <v>28</v>
      </c>
      <c r="C232" s="41">
        <v>12</v>
      </c>
      <c r="D232" s="124" t="str">
        <f xml:space="preserve"> IF(C232="","",setValueToTime(C232))</f>
        <v>1h</v>
      </c>
      <c r="E232" s="42" t="s">
        <v>162</v>
      </c>
      <c r="F232" s="255"/>
      <c r="G232" s="256"/>
      <c r="H232" s="151"/>
    </row>
    <row r="233" spans="2:8" s="43" customFormat="1" ht="27" x14ac:dyDescent="0.3">
      <c r="B233" s="44" t="s">
        <v>30</v>
      </c>
      <c r="C233" s="45">
        <v>12</v>
      </c>
      <c r="D233" s="125" t="str">
        <f t="shared" ref="D233:D236" si="31" xml:space="preserve"> IF(C233="","",setValueToTime(C233))</f>
        <v>1h</v>
      </c>
      <c r="E233" s="46" t="s">
        <v>163</v>
      </c>
      <c r="F233" s="263"/>
      <c r="G233" s="260"/>
      <c r="H233" s="151"/>
    </row>
    <row r="234" spans="2:8" s="43" customFormat="1" ht="27" x14ac:dyDescent="0.3">
      <c r="B234" s="44" t="s">
        <v>30</v>
      </c>
      <c r="C234" s="45">
        <v>12</v>
      </c>
      <c r="D234" s="125" t="str">
        <f t="shared" si="31"/>
        <v>1h</v>
      </c>
      <c r="E234" s="46" t="s">
        <v>183</v>
      </c>
      <c r="F234" s="263"/>
      <c r="G234" s="260"/>
      <c r="H234" s="151"/>
    </row>
    <row r="235" spans="2:8" s="43" customFormat="1" ht="40.5" x14ac:dyDescent="0.3">
      <c r="B235" s="44" t="s">
        <v>30</v>
      </c>
      <c r="C235" s="45">
        <v>9</v>
      </c>
      <c r="D235" s="125" t="str">
        <f t="shared" si="31"/>
        <v xml:space="preserve"> 45 min</v>
      </c>
      <c r="E235" s="46" t="s">
        <v>182</v>
      </c>
      <c r="F235" s="263"/>
      <c r="G235" s="260"/>
      <c r="H235" s="151"/>
    </row>
    <row r="236" spans="2:8" s="43" customFormat="1" ht="27.75" thickBot="1" x14ac:dyDescent="0.35">
      <c r="B236" s="47" t="s">
        <v>31</v>
      </c>
      <c r="C236" s="47">
        <v>3</v>
      </c>
      <c r="D236" s="127" t="str">
        <f t="shared" si="31"/>
        <v xml:space="preserve"> 15 min</v>
      </c>
      <c r="E236" s="48" t="s">
        <v>154</v>
      </c>
      <c r="F236" s="261"/>
      <c r="G236" s="262"/>
      <c r="H236" s="151"/>
    </row>
    <row r="237" spans="2:8" s="43" customFormat="1" ht="15" thickBot="1" x14ac:dyDescent="0.35">
      <c r="B237" s="134" t="s">
        <v>44</v>
      </c>
      <c r="C237" s="66">
        <f>SUM(C232:C236)</f>
        <v>48</v>
      </c>
      <c r="D237" s="134" t="str">
        <f xml:space="preserve"> setValueToTime(C237)</f>
        <v>4h</v>
      </c>
      <c r="E237" s="95"/>
      <c r="F237" s="251"/>
      <c r="G237" s="252"/>
      <c r="H237" s="151"/>
    </row>
    <row r="238" spans="2:8" s="43" customFormat="1" x14ac:dyDescent="0.3">
      <c r="B238" s="60"/>
      <c r="C238" s="60"/>
      <c r="D238" s="60"/>
      <c r="E238" s="60"/>
      <c r="F238" s="60"/>
      <c r="G238" s="60"/>
      <c r="H238" s="151"/>
    </row>
  </sheetData>
  <sheetProtection formatRows="0" insertRows="0" insertHyperlinks="0" deleteRows="0" selectLockedCells="1"/>
  <mergeCells count="189">
    <mergeCell ref="F9:G9"/>
    <mergeCell ref="F6:G6"/>
    <mergeCell ref="F3:G3"/>
    <mergeCell ref="F4:G4"/>
    <mergeCell ref="F5:G5"/>
    <mergeCell ref="F7:G7"/>
    <mergeCell ref="F8:G8"/>
    <mergeCell ref="F50:G50"/>
    <mergeCell ref="F52:G52"/>
    <mergeCell ref="F53:G53"/>
    <mergeCell ref="F25:G25"/>
    <mergeCell ref="F20:G20"/>
    <mergeCell ref="F21:G21"/>
    <mergeCell ref="F22:G22"/>
    <mergeCell ref="F23:G23"/>
    <mergeCell ref="F24:G24"/>
    <mergeCell ref="F35:G35"/>
    <mergeCell ref="F28:G28"/>
    <mergeCell ref="F29:G29"/>
    <mergeCell ref="F30:G30"/>
    <mergeCell ref="F31:G31"/>
    <mergeCell ref="F32:G32"/>
    <mergeCell ref="F33:G33"/>
    <mergeCell ref="F34:G34"/>
    <mergeCell ref="F146:G146"/>
    <mergeCell ref="F73:G73"/>
    <mergeCell ref="F70:G70"/>
    <mergeCell ref="F65:G65"/>
    <mergeCell ref="F66:G66"/>
    <mergeCell ref="F67:G67"/>
    <mergeCell ref="F68:G68"/>
    <mergeCell ref="F69:G69"/>
    <mergeCell ref="F71:G71"/>
    <mergeCell ref="F72:G72"/>
    <mergeCell ref="F135:G135"/>
    <mergeCell ref="F129:G129"/>
    <mergeCell ref="F130:G130"/>
    <mergeCell ref="F131:G131"/>
    <mergeCell ref="F132:G132"/>
    <mergeCell ref="F133:G133"/>
    <mergeCell ref="F143:G143"/>
    <mergeCell ref="F144:G144"/>
    <mergeCell ref="F145:G145"/>
    <mergeCell ref="F138:G138"/>
    <mergeCell ref="F139:G139"/>
    <mergeCell ref="F140:G140"/>
    <mergeCell ref="F141:G141"/>
    <mergeCell ref="F142:G142"/>
    <mergeCell ref="F187:G187"/>
    <mergeCell ref="F188:G188"/>
    <mergeCell ref="F189:G189"/>
    <mergeCell ref="F190:G190"/>
    <mergeCell ref="F191:G191"/>
    <mergeCell ref="F192:G192"/>
    <mergeCell ref="F194:G194"/>
    <mergeCell ref="F195:G195"/>
    <mergeCell ref="F196:G196"/>
    <mergeCell ref="F193:G193"/>
    <mergeCell ref="F236:G236"/>
    <mergeCell ref="F237:G237"/>
    <mergeCell ref="F223:G223"/>
    <mergeCell ref="F224:G224"/>
    <mergeCell ref="F225:G225"/>
    <mergeCell ref="F226:G226"/>
    <mergeCell ref="F231:G231"/>
    <mergeCell ref="F232:G232"/>
    <mergeCell ref="F233:G233"/>
    <mergeCell ref="F234:G234"/>
    <mergeCell ref="F235:G235"/>
    <mergeCell ref="F227:G227"/>
    <mergeCell ref="F228:G228"/>
    <mergeCell ref="F216:G216"/>
    <mergeCell ref="F218:G218"/>
    <mergeCell ref="F219:G219"/>
    <mergeCell ref="F220:G220"/>
    <mergeCell ref="F217:G217"/>
    <mergeCell ref="F215:G215"/>
    <mergeCell ref="F199:G199"/>
    <mergeCell ref="F200:G200"/>
    <mergeCell ref="F201:G201"/>
    <mergeCell ref="F202:G202"/>
    <mergeCell ref="F203:G203"/>
    <mergeCell ref="F205:G205"/>
    <mergeCell ref="F206:G206"/>
    <mergeCell ref="F207:G207"/>
    <mergeCell ref="F210:G210"/>
    <mergeCell ref="F211:G211"/>
    <mergeCell ref="F212:G212"/>
    <mergeCell ref="F213:G213"/>
    <mergeCell ref="F214:G214"/>
    <mergeCell ref="F204:G204"/>
    <mergeCell ref="F169:G169"/>
    <mergeCell ref="F170:G170"/>
    <mergeCell ref="F171:G171"/>
    <mergeCell ref="F173:G173"/>
    <mergeCell ref="F172:G172"/>
    <mergeCell ref="F165:G165"/>
    <mergeCell ref="F166:G166"/>
    <mergeCell ref="F149:G149"/>
    <mergeCell ref="F161:G161"/>
    <mergeCell ref="F162:G162"/>
    <mergeCell ref="F163:G163"/>
    <mergeCell ref="F164:G164"/>
    <mergeCell ref="F150:G150"/>
    <mergeCell ref="F151:G151"/>
    <mergeCell ref="F152:G152"/>
    <mergeCell ref="F153:G153"/>
    <mergeCell ref="F154:G154"/>
    <mergeCell ref="F156:G156"/>
    <mergeCell ref="F157:G157"/>
    <mergeCell ref="F155:G155"/>
    <mergeCell ref="F160:G160"/>
    <mergeCell ref="F183:G183"/>
    <mergeCell ref="F184:G184"/>
    <mergeCell ref="F179:G179"/>
    <mergeCell ref="F180:G180"/>
    <mergeCell ref="F181:G181"/>
    <mergeCell ref="F182:G182"/>
    <mergeCell ref="F174:G174"/>
    <mergeCell ref="F175:G175"/>
    <mergeCell ref="F176:G176"/>
    <mergeCell ref="F111:G111"/>
    <mergeCell ref="F112:G112"/>
    <mergeCell ref="F113:G113"/>
    <mergeCell ref="F104:G104"/>
    <mergeCell ref="F105:G105"/>
    <mergeCell ref="F106:G106"/>
    <mergeCell ref="F107:G107"/>
    <mergeCell ref="F108:G108"/>
    <mergeCell ref="F134:G134"/>
    <mergeCell ref="F116:G116"/>
    <mergeCell ref="F117:G117"/>
    <mergeCell ref="F118:G118"/>
    <mergeCell ref="F119:G119"/>
    <mergeCell ref="F120:G120"/>
    <mergeCell ref="F121:G121"/>
    <mergeCell ref="F122:G122"/>
    <mergeCell ref="F124:G124"/>
    <mergeCell ref="F125:G125"/>
    <mergeCell ref="F126:G126"/>
    <mergeCell ref="F123:G123"/>
    <mergeCell ref="F109:G109"/>
    <mergeCell ref="F110:G110"/>
    <mergeCell ref="F82:G82"/>
    <mergeCell ref="F76:G76"/>
    <mergeCell ref="F77:G77"/>
    <mergeCell ref="F78:G78"/>
    <mergeCell ref="F79:G79"/>
    <mergeCell ref="F80:G80"/>
    <mergeCell ref="F81:G81"/>
    <mergeCell ref="F101:G101"/>
    <mergeCell ref="F85:G85"/>
    <mergeCell ref="F86:G86"/>
    <mergeCell ref="F87:G87"/>
    <mergeCell ref="F88:G88"/>
    <mergeCell ref="F89:G89"/>
    <mergeCell ref="F90:G90"/>
    <mergeCell ref="F91:G91"/>
    <mergeCell ref="F94:G94"/>
    <mergeCell ref="F95:G95"/>
    <mergeCell ref="F96:G96"/>
    <mergeCell ref="F97:G97"/>
    <mergeCell ref="F98:G98"/>
    <mergeCell ref="F99:G99"/>
    <mergeCell ref="F100:G100"/>
    <mergeCell ref="F17:G17"/>
    <mergeCell ref="F12:G12"/>
    <mergeCell ref="F13:G13"/>
    <mergeCell ref="F14:G14"/>
    <mergeCell ref="F15:G15"/>
    <mergeCell ref="F16:G16"/>
    <mergeCell ref="F62:G62"/>
    <mergeCell ref="F57:G57"/>
    <mergeCell ref="F58:G58"/>
    <mergeCell ref="F59:G59"/>
    <mergeCell ref="F60:G60"/>
    <mergeCell ref="F61:G61"/>
    <mergeCell ref="F54:G54"/>
    <mergeCell ref="F38:G38"/>
    <mergeCell ref="F39:G39"/>
    <mergeCell ref="F40:G40"/>
    <mergeCell ref="F41:G41"/>
    <mergeCell ref="F42:G42"/>
    <mergeCell ref="F43:G43"/>
    <mergeCell ref="F44:G44"/>
    <mergeCell ref="F51:G51"/>
    <mergeCell ref="F47:G47"/>
    <mergeCell ref="F48:G48"/>
    <mergeCell ref="F49:G49"/>
  </mergeCells>
  <phoneticPr fontId="0" type="noConversion"/>
  <conditionalFormatting sqref="C237">
    <cfRule type="cellIs" dxfId="25" priority="24" operator="greaterThan">
      <formula>60</formula>
    </cfRule>
  </conditionalFormatting>
  <conditionalFormatting sqref="C228">
    <cfRule type="cellIs" dxfId="24" priority="23" operator="greaterThan">
      <formula>60</formula>
    </cfRule>
  </conditionalFormatting>
  <conditionalFormatting sqref="C220">
    <cfRule type="cellIs" dxfId="23" priority="22" operator="greaterThan">
      <formula>60</formula>
    </cfRule>
  </conditionalFormatting>
  <conditionalFormatting sqref="C207">
    <cfRule type="cellIs" dxfId="22" priority="21" operator="greaterThan">
      <formula>60</formula>
    </cfRule>
  </conditionalFormatting>
  <conditionalFormatting sqref="C196">
    <cfRule type="cellIs" dxfId="21" priority="20" operator="greaterThan">
      <formula>60</formula>
    </cfRule>
  </conditionalFormatting>
  <conditionalFormatting sqref="C184">
    <cfRule type="cellIs" dxfId="20" priority="19" operator="greaterThan">
      <formula>60</formula>
    </cfRule>
  </conditionalFormatting>
  <conditionalFormatting sqref="C176">
    <cfRule type="cellIs" dxfId="19" priority="18" operator="greaterThan">
      <formula>60</formula>
    </cfRule>
  </conditionalFormatting>
  <conditionalFormatting sqref="C166">
    <cfRule type="cellIs" dxfId="18" priority="17" operator="greaterThan">
      <formula>60</formula>
    </cfRule>
  </conditionalFormatting>
  <conditionalFormatting sqref="C157">
    <cfRule type="cellIs" dxfId="17" priority="16" operator="greaterThan">
      <formula>60</formula>
    </cfRule>
  </conditionalFormatting>
  <conditionalFormatting sqref="C146">
    <cfRule type="cellIs" dxfId="16" priority="15" operator="greaterThan">
      <formula>60</formula>
    </cfRule>
  </conditionalFormatting>
  <conditionalFormatting sqref="C135">
    <cfRule type="cellIs" dxfId="15" priority="14" operator="greaterThan">
      <formula>60</formula>
    </cfRule>
  </conditionalFormatting>
  <conditionalFormatting sqref="C126">
    <cfRule type="cellIs" dxfId="14" priority="13" operator="greaterThan">
      <formula>60</formula>
    </cfRule>
  </conditionalFormatting>
  <conditionalFormatting sqref="C113">
    <cfRule type="cellIs" dxfId="13" priority="12" operator="greaterThan">
      <formula>60</formula>
    </cfRule>
  </conditionalFormatting>
  <conditionalFormatting sqref="C101">
    <cfRule type="cellIs" dxfId="12" priority="11" operator="greaterThan">
      <formula>60</formula>
    </cfRule>
  </conditionalFormatting>
  <conditionalFormatting sqref="C91">
    <cfRule type="cellIs" dxfId="11" priority="10" operator="greaterThan">
      <formula>60</formula>
    </cfRule>
  </conditionalFormatting>
  <conditionalFormatting sqref="C82">
    <cfRule type="cellIs" dxfId="10" priority="9" operator="greaterThan">
      <formula>60</formula>
    </cfRule>
  </conditionalFormatting>
  <conditionalFormatting sqref="C73">
    <cfRule type="cellIs" dxfId="9" priority="8" operator="greaterThan">
      <formula>60</formula>
    </cfRule>
  </conditionalFormatting>
  <conditionalFormatting sqref="C62">
    <cfRule type="cellIs" dxfId="8" priority="7" operator="greaterThan">
      <formula>60</formula>
    </cfRule>
  </conditionalFormatting>
  <conditionalFormatting sqref="C54">
    <cfRule type="cellIs" dxfId="7" priority="6" operator="greaterThan">
      <formula>60</formula>
    </cfRule>
  </conditionalFormatting>
  <conditionalFormatting sqref="C44">
    <cfRule type="cellIs" dxfId="6" priority="5" operator="greaterThan">
      <formula>60</formula>
    </cfRule>
  </conditionalFormatting>
  <conditionalFormatting sqref="C35">
    <cfRule type="cellIs" dxfId="5" priority="4" operator="greaterThan">
      <formula>60</formula>
    </cfRule>
  </conditionalFormatting>
  <conditionalFormatting sqref="C25">
    <cfRule type="cellIs" dxfId="4" priority="3" operator="greaterThan">
      <formula>60</formula>
    </cfRule>
  </conditionalFormatting>
  <conditionalFormatting sqref="C17">
    <cfRule type="cellIs" dxfId="3" priority="2" operator="greaterThan">
      <formula>60</formula>
    </cfRule>
  </conditionalFormatting>
  <conditionalFormatting sqref="C9">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11:C219 C224:C227 C232:C236 C200:C206 C188:C195 C180:C183 C170:C175 C161:C165 C150:C156 C130:C134 C139:C145 C117:C125 C105:C112 C95:C100 C86:C90 C77:C81 C66:C72 C58:C61 C48:C53 C39:C43 C29:C34 C21:C24 C13:C16 C4:C8"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37 C228 C220 C207 C196 C184 C176 C166 C157 C146 C135 C126 C113 C101 C91 C82 C73 C62 C54 C44 C35 C25 C17 C9" xr:uid="{63BC0A6B-086E-4349-A341-CAA4B17C6BAC}">
      <formula1>0</formula1>
      <formula2>60</formula2>
    </dataValidation>
  </dataValidations>
  <printOptions horizontalCentered="1" verticalCentered="1"/>
  <pageMargins left="0.19685039370078741" right="0.19685039370078741" top="0.98425196850393704" bottom="0.98425196850393704" header="0.51181102362204722" footer="0.51181102362204722"/>
  <pageSetup paperSize="9" scale="54" fitToHeight="0"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95250</xdr:rowOff>
              </from>
              <to>
                <xdr:col>4</xdr:col>
                <xdr:colOff>762000</xdr:colOff>
                <xdr:row>0</xdr:row>
                <xdr:rowOff>571500</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95250</xdr:rowOff>
              </from>
              <to>
                <xdr:col>2</xdr:col>
                <xdr:colOff>457200</xdr:colOff>
                <xdr:row>0</xdr:row>
                <xdr:rowOff>561975</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B211:B219 B224:B227 B232:B236 B200:B206 B188:B195 B180:B183 B170:B175 B161:B165 B150:B156 B130:B134 B139:B145 B117:B125 B105:B112 B95:B100 B86:B90 B77:B81 B66:B72 B58:B61 B48:B53 B39:B43 B29:B34 B21:B24 B13:B16 B4:B8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5"/>
      <c r="B10" s="225"/>
      <c r="C10" s="225"/>
      <c r="D10" s="225"/>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73"/>
    </row>
    <row r="11" spans="1:61" ht="18" x14ac:dyDescent="0.25">
      <c r="A11" s="210"/>
      <c r="B11" s="210"/>
      <c r="C11" s="210"/>
      <c r="D11" s="210"/>
      <c r="E11" s="210"/>
      <c r="F11" s="210"/>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73"/>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73"/>
    </row>
    <row r="13" spans="1:61" ht="18.75" thickBot="1" x14ac:dyDescent="0.3">
      <c r="A13" s="212" t="s">
        <v>37</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4"/>
      <c r="BI13" s="73"/>
    </row>
    <row r="14" spans="1:61" ht="15.75" thickBot="1" x14ac:dyDescent="0.35">
      <c r="A14" s="80"/>
      <c r="B14" s="81"/>
      <c r="C14" s="81"/>
      <c r="D14" s="81"/>
      <c r="E14" s="209" t="s">
        <v>18</v>
      </c>
      <c r="F14" s="209"/>
      <c r="G14" s="209"/>
      <c r="H14" s="209"/>
      <c r="I14" s="81"/>
      <c r="J14" s="81"/>
      <c r="K14" s="211" t="s">
        <v>19</v>
      </c>
      <c r="L14" s="211"/>
      <c r="M14" s="211"/>
      <c r="N14" s="211"/>
      <c r="O14" s="101"/>
      <c r="P14" s="101"/>
      <c r="Q14" s="209" t="s">
        <v>20</v>
      </c>
      <c r="R14" s="209"/>
      <c r="S14" s="209"/>
      <c r="T14" s="209"/>
      <c r="U14" s="81"/>
      <c r="V14" s="81"/>
      <c r="W14" s="211" t="s">
        <v>21</v>
      </c>
      <c r="X14" s="211"/>
      <c r="Y14" s="211"/>
      <c r="Z14" s="211"/>
      <c r="AA14" s="101"/>
      <c r="AB14" s="101"/>
      <c r="AC14" s="209" t="s">
        <v>22</v>
      </c>
      <c r="AD14" s="209"/>
      <c r="AE14" s="209"/>
      <c r="AF14" s="209"/>
      <c r="AG14" s="81"/>
      <c r="AH14" s="81"/>
      <c r="AI14" s="211" t="s">
        <v>23</v>
      </c>
      <c r="AJ14" s="211"/>
      <c r="AK14" s="211"/>
      <c r="AL14" s="211"/>
      <c r="AM14" s="101"/>
      <c r="AN14" s="101"/>
      <c r="AO14" s="209" t="s">
        <v>24</v>
      </c>
      <c r="AP14" s="209"/>
      <c r="AQ14" s="209"/>
      <c r="AR14" s="209"/>
      <c r="AS14" s="81"/>
      <c r="AT14" s="81"/>
      <c r="AU14" s="211" t="s">
        <v>25</v>
      </c>
      <c r="AV14" s="211"/>
      <c r="AW14" s="211"/>
      <c r="AX14" s="211"/>
      <c r="AY14" s="101"/>
      <c r="AZ14" s="101"/>
      <c r="BA14" s="209" t="s">
        <v>26</v>
      </c>
      <c r="BB14" s="209"/>
      <c r="BC14" s="209"/>
      <c r="BD14" s="209"/>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3" t="s">
        <v>42</v>
      </c>
      <c r="G2" s="244"/>
      <c r="H2" s="150"/>
    </row>
    <row r="3" spans="2:8" s="43" customFormat="1" x14ac:dyDescent="0.3">
      <c r="B3" s="40" t="s">
        <v>43</v>
      </c>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4"/>
      <c r="C7" s="45"/>
      <c r="D7" s="126" t="str">
        <f t="shared" si="0"/>
        <v/>
      </c>
      <c r="E7" s="46"/>
      <c r="F7" s="247"/>
      <c r="G7" s="248"/>
      <c r="H7" s="151"/>
    </row>
    <row r="8" spans="2:8" s="43" customFormat="1" x14ac:dyDescent="0.3">
      <c r="B8" s="44"/>
      <c r="C8" s="45"/>
      <c r="D8" s="126" t="str">
        <f t="shared" si="0"/>
        <v/>
      </c>
      <c r="E8" s="46"/>
      <c r="F8" s="247"/>
      <c r="G8" s="248"/>
      <c r="H8" s="151"/>
    </row>
    <row r="9" spans="2:8" s="43" customFormat="1" x14ac:dyDescent="0.3">
      <c r="B9" s="44"/>
      <c r="C9" s="45"/>
      <c r="D9" s="126" t="str">
        <f t="shared" si="0"/>
        <v/>
      </c>
      <c r="E9" s="46"/>
      <c r="F9" s="247"/>
      <c r="G9" s="248"/>
      <c r="H9" s="151"/>
    </row>
    <row r="10" spans="2:8" s="43" customFormat="1" ht="15" thickBot="1" x14ac:dyDescent="0.35">
      <c r="B10" s="44"/>
      <c r="C10" s="47"/>
      <c r="D10" s="127" t="str">
        <f t="shared" si="0"/>
        <v/>
      </c>
      <c r="E10" s="48"/>
      <c r="F10" s="239"/>
      <c r="G10" s="240"/>
      <c r="H10" s="151"/>
    </row>
    <row r="11" spans="2:8" s="43" customFormat="1" ht="15" thickBot="1" x14ac:dyDescent="0.35">
      <c r="B11" s="85" t="s">
        <v>44</v>
      </c>
      <c r="C11" s="67">
        <f>SUM(C3:C10)</f>
        <v>0</v>
      </c>
      <c r="D11" s="85" t="str">
        <f xml:space="preserve"> setValueToTime(C11)</f>
        <v/>
      </c>
      <c r="E11" s="94"/>
      <c r="F11" s="241"/>
      <c r="G11" s="242"/>
      <c r="H11" s="151"/>
    </row>
    <row r="12" spans="2:8" s="43" customFormat="1" x14ac:dyDescent="0.3">
      <c r="B12" s="62"/>
      <c r="C12" s="62"/>
      <c r="D12" s="62"/>
      <c r="E12" s="62"/>
      <c r="F12" s="62"/>
      <c r="G12" s="62"/>
      <c r="H12" s="151"/>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5"/>
      <c r="C7" s="45"/>
      <c r="D7" s="126" t="str">
        <f t="shared" si="0"/>
        <v/>
      </c>
      <c r="E7" s="46"/>
      <c r="F7" s="247"/>
      <c r="G7" s="248"/>
      <c r="H7" s="151"/>
    </row>
    <row r="8" spans="2:8" s="43" customFormat="1" x14ac:dyDescent="0.3">
      <c r="B8" s="45"/>
      <c r="C8" s="45"/>
      <c r="D8" s="126" t="str">
        <f t="shared" si="0"/>
        <v/>
      </c>
      <c r="E8" s="46"/>
      <c r="F8" s="247"/>
      <c r="G8" s="248"/>
      <c r="H8" s="151"/>
    </row>
    <row r="9" spans="2:8" s="43" customFormat="1" x14ac:dyDescent="0.3">
      <c r="B9" s="45"/>
      <c r="C9" s="45"/>
      <c r="D9" s="126" t="str">
        <f t="shared" si="0"/>
        <v/>
      </c>
      <c r="E9" s="46"/>
      <c r="F9" s="247"/>
      <c r="G9" s="248"/>
      <c r="H9" s="151"/>
    </row>
    <row r="10" spans="2:8" s="43" customFormat="1" ht="15" thickBot="1" x14ac:dyDescent="0.35">
      <c r="B10" s="47"/>
      <c r="C10" s="47"/>
      <c r="D10" s="127" t="str">
        <f t="shared" si="0"/>
        <v/>
      </c>
      <c r="E10" s="48"/>
      <c r="F10" s="239"/>
      <c r="G10" s="24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www.w3.org/XML/1998/namespace"/>
    <ds:schemaRef ds:uri="http://schemas.openxmlformats.org/package/2006/metadata/core-properties"/>
    <ds:schemaRef ds:uri="http://purl.org/dc/elements/1.1/"/>
    <ds:schemaRef ds:uri="http://purl.org/dc/terms/"/>
    <ds:schemaRef ds:uri="f7d9f5a6-831d-4621-8c77-cbcaf993e406"/>
    <ds:schemaRef ds:uri="http://schemas.microsoft.com/office/2006/metadata/properties"/>
    <ds:schemaRef ds:uri="http://schemas.microsoft.com/office/infopath/2007/PartnerControls"/>
    <ds:schemaRef ds:uri="http://schemas.microsoft.com/office/2006/documentManagement/type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2025-05-23T14:29:38Z</cp:lastPrinted>
  <dcterms:created xsi:type="dcterms:W3CDTF">1996-10-21T11:03:58Z</dcterms:created>
  <dcterms:modified xsi:type="dcterms:W3CDTF">2025-05-26T12:46:21Z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