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C6CCFC1B-DA52-4EBF-AE09-B52597B5DB5F}"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Journal!$B$30:$G$184</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12" l="1"/>
  <c r="C19" i="12"/>
  <c r="C28" i="12"/>
  <c r="C37" i="12"/>
  <c r="C47" i="12"/>
  <c r="C59" i="12"/>
  <c r="C72" i="12"/>
  <c r="C81" i="12"/>
  <c r="C92" i="12"/>
  <c r="C103" i="12"/>
  <c r="C112" i="12"/>
  <c r="D6" i="12"/>
  <c r="D5" i="12"/>
  <c r="D7" i="12"/>
  <c r="D4" i="12"/>
  <c r="D8" i="12"/>
  <c r="D109" i="12"/>
  <c r="D53" i="12"/>
  <c r="D66" i="12"/>
  <c r="D89" i="12"/>
  <c r="D36" i="12"/>
  <c r="D72" i="12"/>
  <c r="D67" i="12"/>
  <c r="D45" i="12"/>
  <c r="D100" i="12"/>
  <c r="D97" i="12"/>
  <c r="D25" i="12"/>
  <c r="D16" i="12"/>
  <c r="D28" i="12"/>
  <c r="D32" i="12"/>
  <c r="D17" i="12"/>
  <c r="D35" i="12"/>
  <c r="D102" i="12"/>
  <c r="D15" i="12"/>
  <c r="D103" i="12"/>
  <c r="D65" i="12"/>
  <c r="D98" i="12"/>
  <c r="D69" i="12"/>
  <c r="D13" i="12"/>
  <c r="D24" i="12"/>
  <c r="D110" i="12"/>
  <c r="D34" i="12"/>
  <c r="D80" i="12"/>
  <c r="D91" i="12"/>
  <c r="D58" i="12"/>
  <c r="D59" i="12"/>
  <c r="D56" i="12"/>
  <c r="D92" i="12"/>
  <c r="D79" i="12"/>
  <c r="D78" i="12"/>
  <c r="D107" i="12"/>
  <c r="D101" i="12"/>
  <c r="D42" i="12"/>
  <c r="D108" i="12"/>
  <c r="D18" i="12"/>
  <c r="D23" i="12"/>
  <c r="D87" i="12"/>
  <c r="D86" i="12"/>
  <c r="D70" i="12"/>
  <c r="D90" i="12"/>
  <c r="D19" i="12"/>
  <c r="D26" i="12"/>
  <c r="D71" i="12"/>
  <c r="D46" i="12"/>
  <c r="D85" i="12"/>
  <c r="D68" i="12"/>
  <c r="D27" i="12"/>
  <c r="D43" i="12"/>
  <c r="D33" i="12"/>
  <c r="D55" i="12"/>
  <c r="D76" i="12"/>
  <c r="D118" i="12"/>
  <c r="D47" i="12"/>
  <c r="D111" i="12"/>
  <c r="D51" i="12"/>
  <c r="D112" i="12"/>
  <c r="D41" i="12"/>
  <c r="D57" i="12"/>
  <c r="D88" i="12"/>
  <c r="D37" i="12"/>
  <c r="D96" i="12"/>
  <c r="D64" i="12"/>
  <c r="D99" i="12"/>
  <c r="D77" i="12"/>
  <c r="D52" i="12"/>
  <c r="D14" i="12"/>
  <c r="D81" i="12"/>
  <c r="D63" i="12"/>
  <c r="D12" i="12"/>
  <c r="D54" i="12"/>
  <c r="D44" i="12"/>
  <c r="C122" i="12" l="1"/>
  <c r="C130" i="12"/>
  <c r="C142" i="12"/>
  <c r="C153" i="12"/>
  <c r="C183" i="12"/>
  <c r="C174" i="12"/>
  <c r="C166" i="12"/>
  <c r="E59" i="1"/>
  <c r="D108" i="10"/>
  <c r="D181" i="12"/>
  <c r="D150" i="12"/>
  <c r="D153" i="12"/>
  <c r="D116" i="12"/>
  <c r="D129" i="12"/>
  <c r="D128" i="12"/>
  <c r="D126" i="12"/>
  <c r="D137" i="12"/>
  <c r="D121" i="12"/>
  <c r="D182" i="12"/>
  <c r="D170" i="12"/>
  <c r="D174" i="12"/>
  <c r="D164" i="12"/>
  <c r="D135" i="12"/>
  <c r="D178" i="12"/>
  <c r="D157" i="12"/>
  <c r="D179" i="12"/>
  <c r="D138" i="12"/>
  <c r="D152" i="12"/>
  <c r="D163" i="12"/>
  <c r="D142" i="12"/>
  <c r="D173" i="12"/>
  <c r="D141" i="12"/>
  <c r="D122" i="12"/>
  <c r="D146" i="12"/>
  <c r="D149" i="12"/>
  <c r="D183" i="12"/>
  <c r="D130" i="12"/>
  <c r="D180" i="12"/>
  <c r="D136" i="12"/>
  <c r="D161" i="12"/>
  <c r="D166" i="12"/>
  <c r="D151" i="12"/>
  <c r="D160" i="12"/>
  <c r="D119" i="12"/>
  <c r="D134" i="12"/>
  <c r="D171" i="12"/>
  <c r="D117" i="12"/>
  <c r="D172" i="12"/>
  <c r="D127" i="12"/>
  <c r="D148" i="12"/>
  <c r="D162" i="12"/>
  <c r="D159" i="12"/>
  <c r="D158" i="12"/>
  <c r="D165" i="12"/>
  <c r="D147" i="12"/>
  <c r="D140" i="12"/>
  <c r="D139" i="12"/>
  <c r="D120"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<sst xmlns="http://schemas.openxmlformats.org/spreadsheetml/2006/main" count="1233" uniqueCount="273">
  <si>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</si>
  <si>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</si>
  <si>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</si>
  <si>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</si>
  <si>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</si>
  <si>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</si>
  <si>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</si>
  <si>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</si>
  <si>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</si>
  <si>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</si>
  <si>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</si>
  <si>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</si>
  <si>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</si>
  <si>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</si>
  <si>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</si>
  <si>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</si>
  <si>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</si>
  <si>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</si>
  <si>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</si>
  <si>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</si>
  <si>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</si>
  <si>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</si>
  <si>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</si>
  <si>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</si>
  <si>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</si>
  <si>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</si>
  <si>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</si>
  <si>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</si>
  <si>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</si>
  <si>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</si>
  <si>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</si>
  <si>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</si>
  <si>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</si>
  <si>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</si>
  <si>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</si>
  <si>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</si>
  <si>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</si>
  <si>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</si>
  <si>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</si>
  <si>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</si>
  <si>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</si>
  <si>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</si>
  <si>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</si>
  <si>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</si>
  <si>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</si>
  <si>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</si>
  <si>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</si>
  <si>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</si>
  <si>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</si>
  <si>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</si>
  <si>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</si>
  <si>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</si>
  <si>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</si>
  <si>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</si>
  <si>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</si>
  <si>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</si>
  <si>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</si>
  <si>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</si>
  <si>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</si>
  <si>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</si>
  <si>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</si>
  <si>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</si>
  <si>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</si>
  <si>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</si>
  <si>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</si>
  <si>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</si>
  <si>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</si>
  <si>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</si>
  <si>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</si>
  <si>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</si>
  <si>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</si>
  <si>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</si>
  <si>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</si>
  <si>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</si>
  <si>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</si>
  <si>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</si>
  <si>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</si>
  <si>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</si>
  <si>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</si>
  <si>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</si>
  <si>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</si>
  <si>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</si>
  <si>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</si>
  <si>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</si>
  <si>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</si>
  <si>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</si>
  <si>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</si>
  <si>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</si>
  <si>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</si>
  <si>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</si>
  <si>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</si>
  <si>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</si>
  <si>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</si>
  <si>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</si>
  <si>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</si>
  <si>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</si>
  <si>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</si>
  <si>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</si>
  <si>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</si>
  <si>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</si>
  <si>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</si>
  <si>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</si>
  <si>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</si>
  <si>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</si>
  <si>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</si>
  <si>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</si>
  <si>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</si>
  <si>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</si>
  <si>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</si>
  <si>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</si>
  <si>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</si>
  <si>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</si>
  <si>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</si>
  <si>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</si>
  <si>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</si>
  <si>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</si>
  <si>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</si>
  <si>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</si>
  <si>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</si>
  <si>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</si>
  <si>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</si>
  <si>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</si>
  <si>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</si>
  <si>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</si>
  <si>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</si>
  <si>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</si>
  <si>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</si>
  <si>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</si>
  <si>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</si>
  <si>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</si>
  <si>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</si>
  <si>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</si>
  <si>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</si>
  <si>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</si>
  <si>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</si>
  <si>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</si>
  <si>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</si>
  <si>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</si>
  <si>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</si>
  <si>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</si>
  <si>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</si>
  <si>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</si>
  <si>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</si>
  <si>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</si>
  <si>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</si>
  <si>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</si>
  <si>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</si>
  <si>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</si>
  <si>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</si>
  <si>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</si>
  <si>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</si>
  <si>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</si>
  <si>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</si>
  <si>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</si>
  <si>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</si>
  <si>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</si>
  <si>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</si>
  <si>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</si>
  <si>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</si>
  <si>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</si>
  <si>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</si>
  <si>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</si>
  <si>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</si>
  <si>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</si>
  <si>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</si>
  <si>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</si>
  <si>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</si>
  <si>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</si>
  <si>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</si>
  <si>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</si>
  <si>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</si>
  <si>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</si>
  <si>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</si>
  <si>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</si>
  <si>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</si>
  <si>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</si>
  <si>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</si>
  <si>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</si>
  <si>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</si>
  <si>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</si>
  <si>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</si>
  <si>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</si>
  <si>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</si>
  <si>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</si>
  <si>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</si>
  <si>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</si>
  <si>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</si>
  <si>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</si>
  <si>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</si>
  <si>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</si>
  <si>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</si>
  <si>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</si>
  <si>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</si>
  <si>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</si>
  <si>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</si>
  <si>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</si>
  <si>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</si>
  <si>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</si>
  <si>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</si>
  <si>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</si>
  <si>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</si>
  <si>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</si>
  <si>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</si>
  <si>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</si>
  <si>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</si>
  <si>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</si>
  <si>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</si>
  <si>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</si>
  <si>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</si>
  <si>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</si>
  <si>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</si>
  <si>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</si>
  <si>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</si>
  <si>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</si>
  <si>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</si>
  <si>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</si>
  <si>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</si>
  <si>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</si>
  <si>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</si>
  <si>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</si>
  <si>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</si>
  <si>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</si>
  <si>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</si>
  <si>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</si>
  <si>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</si>
  <si>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</si>
  <si>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</si>
  <si>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</si>
  <si>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</si>
  <si>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</si>
  <si>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</si>
  <si>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</si>
  <si>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</si>
  <si>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</si>
  <si>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</si>
  <si>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</si>
  <si>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</si>
  <si>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Connexion et mise en place du nouveau poste de travail.
Avancé ralenti pour des raisons personnelles.</t>
  </si>
  <si>
    <t>…</t>
  </si>
  <si>
    <t>Mot de passe caché lors de l'écriture de celui-ci.</t>
  </si>
  <si>
    <t>Mise en place d'une classe qui renvoie l'id de l'utilisateur actuel.</t>
  </si>
  <si>
    <t>Sources notées (titres à compléter).</t>
  </si>
  <si>
    <t>Notation des tâches effectuées.
Envoi mail. 
Git.</t>
  </si>
  <si>
    <t>Notation des tâches effectuées. 
Rédaction mail.</t>
  </si>
  <si>
    <t>Discussion avec le chef de projet.</t>
  </si>
  <si>
    <t>Discussion avec le 2ème expert.</t>
  </si>
  <si>
    <t>Sections : titre, intro, début bonnes pratiques sécurité, début matériel et logiciels à disposition, début description, début prérequis.
Explication de la différence entre le rôle admin et l'utilisateur lambda.</t>
  </si>
  <si>
    <t>Sections : suite matériel et logiciels à disposition, fin description, contraintes, prérequis (conversion image en texte pour gagner du temps), travail à réalisé, "si le temps le permet", début du bilan personnel.</t>
  </si>
  <si>
    <r>
      <t xml:space="preserve">Pour convertir l'image des obejctifs reçue en texte : </t>
    </r>
    <r>
      <rPr>
        <sz val="10"/>
        <color theme="8"/>
        <rFont val="Century Gothic"/>
        <family val="2"/>
        <scheme val="minor"/>
      </rPr>
      <t>https://www.online-convert.com/fr/</t>
    </r>
  </si>
  <si>
    <t>Suite du bilan personnel.</t>
  </si>
  <si>
    <t>Modification du type de la variable salt (VARBINARY au lieu de VARCHAR), mais le code ne crée plus la procédure. Problème mis de côté.</t>
  </si>
  <si>
    <r>
      <t xml:space="preserve">Pour conversion string en byte[] :
</t>
    </r>
    <r>
      <rPr>
        <sz val="10"/>
        <color theme="8"/>
        <rFont val="Century Gothic"/>
        <family val="2"/>
        <scheme val="minor"/>
      </rPr>
      <t>https://www.journaldunet.fr/developpeur/developpement/1202859-c-comment-convertir-une-chaine-string-en-byte-sans-specifier-manuellement-un-encodage/</t>
    </r>
  </si>
  <si>
    <t>Gestion des erreurs pour la génération de mot de passe.
Message confirmation de sauvergarde des données. 
Logique pour hacher le mot de passe avec le master password avant l'enregistrement okay.</t>
  </si>
  <si>
    <r>
      <t xml:space="preserve">Pour empêcher la modification d'uen textbox : </t>
    </r>
    <r>
      <rPr>
        <sz val="10"/>
        <color theme="8"/>
        <rFont val="Century Gothic"/>
        <family val="2"/>
        <scheme val="minor"/>
      </rPr>
      <t>https://stackoverflow.com/questions/8330430/how-to-disable-textbox-from-editing</t>
    </r>
  </si>
  <si>
    <t>Affichage des titres et du contenu du tableau okay.
Mise en page propre.
Problème avec l'indexation de l'affichage.</t>
  </si>
  <si>
    <r>
      <t xml:space="preserve">Pour redimensionner une image : </t>
    </r>
    <r>
      <rPr>
        <sz val="10"/>
        <color theme="8"/>
        <rFont val="Century Gothic"/>
        <family val="2"/>
        <scheme val="minor"/>
      </rPr>
      <t>https://www.delftstack.com/fr/howto/csharp/resize-an-image-in-csharp/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</si>
  <si>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</si>
  <si>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Définition des tâches de documentation à faire.</t>
  </si>
  <si>
    <t>Sections : début méthode de projet, bilan (explication choix des sources de la bibliographie), modèle MCD, début modèle MLD et MPD.</t>
  </si>
  <si>
    <t>Notation des tâches effectuées. 
Récupération git.
Envoi mail.</t>
  </si>
  <si>
    <t>Définition des points clés du manuel.
Définition suite des tâches à faire pour la journée.
Sections : suite modèle MLD et MPD.</t>
  </si>
  <si>
    <t>Définition des tâches pour le reste de la semaine.</t>
  </si>
  <si>
    <t>Création de la classe "WebSite".
Réflexion sur la requête vers la base de données pour récupérer les données de mot de passe.
Difficulté à savoir comment utiliser la table "manage".
Mise en place du modèle MVC.</t>
  </si>
  <si>
    <t>Etapes d'utilisation pour l'authentification, la création de compte, le coffre fort, la sauvegarde de mot de passe et le menu débutées.</t>
  </si>
  <si>
    <t>Redimension de la "ListView".
Difficulté à redimensionner l'image.
Code mis de côté car besoin de consulter des liens en ligne inaccesibles en raison d'un problème réseau.
Gestion des espaces.
Solution pour gérer afficher données en une seule colonne : ListView1.Items.Add en ListView1.Columns.Add. Diificulté à aller plus loin.</t>
  </si>
  <si>
    <t>Retour sur la gestion de l'affichage des données en colonne.</t>
  </si>
  <si>
    <t>Recherche options pour enregistrer l'entièreté de la page en pdf.
Pour gagner du temps j'ai demander à un de mes camarades s'il avait reçu la même remarque.
Celui-ci m'a finalement aidé à faire la sauvegarde en spécifiant la zone d'impression, alors que j'avais mis cette tâche de côté faute d'accès réseau.</t>
  </si>
  <si>
    <t>Simplification du code.
Modification du code pour utiliser les TextBox à la place de "DataViewGrid" - test effectué dans un fichier séparé.
Recherche méthodes pour cacher le curseur - désactivation de la "TextBox" mais affichage pas adapté au besoin.
Test utilisation d'un "Label" - Ajout de bordure okay, taille fixe okay.</t>
  </si>
  <si>
    <t>Modification variable password en masterPasword dans le code. 
Problème avec la génération du sel.</t>
  </si>
  <si>
    <t>Fermeture de la connexion à la base de données si login faux. 
Fermeture de la page seulement si connexion validée. 
Problème avec l'obtention du sel de l'utilisateur en mode connexion. Requête contrôlée, problème ailleurs.</t>
  </si>
  <si>
    <t>Explication des maquettes.
Explication du code pour se connecter à la base de données.</t>
  </si>
  <si>
    <t>Explication des fonctions CRUD utilisées (point A4 des critères d'évaluation).
Étapes de réalisation (récupération du texte pre-préparée durant p_appro).</t>
  </si>
  <si>
    <t>Discussion de classe.
Mise au point avancée avec chef de projet - aide de sa part sur points bloquants (gestion problème de compatibilité des versions git, problème exécution de procédure).
Le problème rencontrée avec l'exécution de la procédure n'a pas été résolu.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</si>
</sst>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95250</xdr:rowOff>
        </xdr:from>
        <xdr:to>
          <xdr:col>4</xdr:col>
          <xdr:colOff>762000</xdr:colOff>
          <xdr:row>0</xdr:row>
          <xdr:rowOff>571500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95250</xdr:rowOff>
        </xdr:from>
        <xdr:to>
          <xdr:col>2</xdr:col>
          <xdr:colOff>457200</xdr:colOff>
          <xdr:row>0</xdr:row>
          <xdr:rowOff>561975</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topLeftCell="A13"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28" t="s">
        <v>3</v>
      </c>
      <c r="D1" s="228"/>
      <c r="E1" s="22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29"/>
      <c r="D7" s="229"/>
      <c r="E7" s="22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15" t="str">
        <f>E60</f>
        <v>89h 30 min</v>
      </c>
      <c r="H9" s="215"/>
      <c r="I9" s="215"/>
      <c r="J9" s="215"/>
      <c r="K9" s="215"/>
      <c r="L9" s="215"/>
      <c r="M9" s="215"/>
      <c r="N9" s="215"/>
      <c r="O9" s="215"/>
      <c r="P9" s="215"/>
      <c r="Q9" s="215"/>
      <c r="R9" s="215"/>
      <c r="S9" s="215"/>
      <c r="T9" s="215"/>
      <c r="U9" s="215"/>
      <c r="V9" s="93"/>
      <c r="W9" s="216" t="s">
        <v>12</v>
      </c>
      <c r="X9" s="216"/>
      <c r="Y9" s="216"/>
      <c r="Z9" s="216"/>
      <c r="AA9" s="216"/>
      <c r="AB9" s="216"/>
      <c r="AC9" s="216"/>
      <c r="AD9" s="216"/>
      <c r="AE9" s="216"/>
      <c r="AF9" s="216"/>
      <c r="AG9" s="216"/>
      <c r="AH9" s="215" t="str">
        <f>E62</f>
        <v/>
      </c>
      <c r="AI9" s="215"/>
      <c r="AJ9" s="215"/>
      <c r="AK9" s="215"/>
      <c r="AL9" s="215"/>
      <c r="AM9" s="215"/>
      <c r="AN9" s="215"/>
      <c r="AO9" s="215"/>
      <c r="AP9" s="215"/>
      <c r="AQ9" s="215"/>
      <c r="AR9" s="215"/>
      <c r="AS9" s="215"/>
      <c r="AT9" s="215"/>
      <c r="AU9" s="215"/>
      <c r="AV9" s="215"/>
      <c r="AW9" s="215"/>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75"/>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206"/>
      <c r="BHG10" s="206"/>
      <c r="BHH10" s="206"/>
      <c r="BHI10" s="206"/>
      <c r="BHJ10" s="206"/>
      <c r="BHK10" s="206"/>
      <c r="BHL10" s="206"/>
      <c r="BHM10" s="206"/>
      <c r="BHN10" s="206"/>
      <c r="BHO10" s="206"/>
      <c r="BHP10" s="206"/>
      <c r="BHQ10" s="206"/>
      <c r="BHR10" s="206"/>
      <c r="BHS10" s="206"/>
      <c r="BHT10" s="206"/>
      <c r="BHU10" s="206"/>
      <c r="BHV10" s="206"/>
      <c r="BHW10" s="206"/>
      <c r="BHX10" s="206"/>
      <c r="BHY10" s="206"/>
      <c r="BHZ10" s="206"/>
      <c r="BIA10" s="206"/>
      <c r="BIB10" s="206"/>
      <c r="BIC10" s="206"/>
      <c r="BID10" s="206"/>
      <c r="BIE10" s="206"/>
      <c r="BIF10" s="206"/>
      <c r="BIG10" s="206"/>
      <c r="BIH10" s="206"/>
      <c r="BII10" s="206"/>
      <c r="BIJ10" s="206"/>
      <c r="BIK10" s="206"/>
      <c r="BIL10" s="206"/>
      <c r="BIM10" s="206"/>
      <c r="BIN10" s="206"/>
      <c r="BIO10" s="206"/>
      <c r="BIP10" s="206"/>
      <c r="BIQ10" s="206"/>
      <c r="BIR10" s="206"/>
      <c r="BIS10" s="206"/>
      <c r="BIT10" s="206"/>
      <c r="BIU10" s="206"/>
      <c r="BIV10" s="206"/>
      <c r="BIW10" s="206"/>
      <c r="BIX10" s="206"/>
      <c r="BIY10" s="206"/>
      <c r="BIZ10" s="206"/>
      <c r="BJA10" s="206"/>
      <c r="BJB10" s="206"/>
      <c r="BJC10" s="206"/>
      <c r="BJD10" s="206"/>
      <c r="BJE10" s="206"/>
      <c r="BJF10" s="206"/>
      <c r="BJG10" s="206"/>
      <c r="BJH10" s="206"/>
      <c r="BJI10" s="206"/>
      <c r="BJJ10" s="206"/>
      <c r="BJK10" s="206"/>
      <c r="BJL10" s="206"/>
      <c r="BJM10" s="206"/>
      <c r="BJN10" s="206"/>
      <c r="BJO10" s="206"/>
      <c r="BJP10" s="206"/>
      <c r="BJQ10" s="206"/>
      <c r="BJR10" s="206"/>
      <c r="BJS10" s="206"/>
      <c r="BJT10" s="206"/>
      <c r="BJU10" s="206"/>
      <c r="BJV10" s="206"/>
      <c r="BJW10" s="206"/>
      <c r="BJX10" s="206"/>
      <c r="BJY10" s="206"/>
      <c r="BJZ10" s="206"/>
      <c r="BKA10" s="206"/>
      <c r="BKB10" s="206"/>
      <c r="BKC10" s="206"/>
      <c r="BKD10" s="206"/>
      <c r="BKE10" s="206"/>
      <c r="BKF10" s="206"/>
      <c r="BKG10" s="206"/>
      <c r="BKH10" s="206"/>
      <c r="BKI10" s="206"/>
      <c r="BKJ10" s="206"/>
      <c r="BKK10" s="206"/>
      <c r="BKL10" s="206"/>
      <c r="BKM10" s="206"/>
      <c r="BKN10" s="206"/>
      <c r="BKO10" s="206"/>
      <c r="BKP10" s="206"/>
      <c r="BKQ10" s="206"/>
      <c r="BKR10" s="206"/>
      <c r="BKS10" s="206"/>
      <c r="BKT10" s="206"/>
      <c r="BKU10" s="206"/>
      <c r="BKV10" s="206"/>
      <c r="BKW10" s="206"/>
      <c r="BKX10" s="206"/>
      <c r="BKY10" s="206"/>
      <c r="BKZ10" s="206"/>
      <c r="BLA10" s="206"/>
      <c r="BLB10" s="206"/>
      <c r="BLC10" s="206"/>
      <c r="BLD10" s="206"/>
      <c r="BLE10" s="206"/>
      <c r="BLF10" s="206"/>
      <c r="BLG10" s="206"/>
      <c r="BLH10" s="206"/>
      <c r="BLI10" s="206"/>
      <c r="BLJ10" s="206"/>
      <c r="BLK10" s="206"/>
      <c r="BLL10" s="206"/>
      <c r="BLM10" s="206"/>
      <c r="BLN10" s="206"/>
      <c r="BLO10" s="206"/>
      <c r="BLP10" s="206"/>
      <c r="BLQ10" s="206"/>
      <c r="BLR10" s="206"/>
      <c r="BLS10" s="206"/>
      <c r="BLT10" s="206"/>
      <c r="BLU10" s="206"/>
      <c r="BLV10" s="73"/>
    </row>
    <row r="11" spans="1:1686" s="71" customFormat="1" ht="20.100000000000001" customHeight="1" x14ac:dyDescent="0.25">
      <c r="A11" s="145"/>
      <c r="B11" s="141"/>
      <c r="C11" s="231"/>
      <c r="D11" s="231"/>
      <c r="E11" s="231"/>
      <c r="F11" s="207" t="s">
        <v>142</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142</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207" t="s">
        <v>141</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141</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138</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138</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135</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135</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133</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130</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130</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127</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127</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124</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124</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121</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121</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119</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116</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116</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113</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113</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110</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110</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107</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107</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207" t="s">
        <v>105</v>
      </c>
      <c r="BHG11" s="207"/>
      <c r="BHH11" s="207"/>
      <c r="BHI11" s="207"/>
      <c r="BHJ11" s="207"/>
      <c r="BHK11" s="207"/>
      <c r="BHL11" s="207"/>
      <c r="BHM11" s="207"/>
      <c r="BHN11" s="207"/>
      <c r="BHO11" s="207"/>
      <c r="BHP11" s="207"/>
      <c r="BHQ11" s="207"/>
      <c r="BHR11" s="207"/>
      <c r="BHS11" s="207"/>
      <c r="BHT11" s="207"/>
      <c r="BHU11" s="207"/>
      <c r="BHV11" s="207"/>
      <c r="BHW11" s="207"/>
      <c r="BHX11" s="207"/>
      <c r="BHY11" s="207"/>
      <c r="BHZ11" s="207"/>
      <c r="BIA11" s="207"/>
      <c r="BIB11" s="207"/>
      <c r="BIC11" s="207"/>
      <c r="BID11" s="207"/>
      <c r="BIE11" s="207"/>
      <c r="BIF11" s="207"/>
      <c r="BIG11" s="207"/>
      <c r="BIH11" s="207"/>
      <c r="BII11" s="207"/>
      <c r="BIJ11" s="207"/>
      <c r="BIK11" s="207"/>
      <c r="BIL11" s="207"/>
      <c r="BIM11" s="207"/>
      <c r="BIN11" s="207"/>
      <c r="BIO11" s="207"/>
      <c r="BIP11" s="207"/>
      <c r="BIQ11" s="207"/>
      <c r="BIR11" s="207"/>
      <c r="BIS11" s="207"/>
      <c r="BIT11" s="207"/>
      <c r="BIU11" s="207"/>
      <c r="BIV11" s="207"/>
      <c r="BIW11" s="207"/>
      <c r="BIX11" s="207"/>
      <c r="BIY11" s="207"/>
      <c r="BIZ11" s="207"/>
      <c r="BJA11" s="207"/>
      <c r="BJB11" s="207"/>
      <c r="BJC11" s="207"/>
      <c r="BJD11" s="207"/>
      <c r="BJE11" s="207"/>
      <c r="BJF11" s="207"/>
      <c r="BJG11" s="207"/>
      <c r="BJH11" s="207"/>
      <c r="BJI11" s="207"/>
      <c r="BJJ11" s="207"/>
      <c r="BJK11" s="207"/>
      <c r="BJL11" s="207"/>
      <c r="BJM11" s="207"/>
      <c r="BJN11" s="207" t="s">
        <v>103</v>
      </c>
      <c r="BJO11" s="207"/>
      <c r="BJP11" s="207"/>
      <c r="BJQ11" s="207"/>
      <c r="BJR11" s="207"/>
      <c r="BJS11" s="207"/>
      <c r="BJT11" s="207"/>
      <c r="BJU11" s="207"/>
      <c r="BJV11" s="207"/>
      <c r="BJW11" s="207"/>
      <c r="BJX11" s="207"/>
      <c r="BJY11" s="207"/>
      <c r="BJZ11" s="207"/>
      <c r="BKA11" s="207"/>
      <c r="BKB11" s="207"/>
      <c r="BKC11" s="207"/>
      <c r="BKD11" s="207"/>
      <c r="BKE11" s="207"/>
      <c r="BKF11" s="207"/>
      <c r="BKG11" s="207"/>
      <c r="BKH11" s="207"/>
      <c r="BKI11" s="207"/>
      <c r="BKJ11" s="207"/>
      <c r="BKK11" s="207"/>
      <c r="BKL11" s="207"/>
      <c r="BKM11" s="207"/>
      <c r="BKN11" s="207"/>
      <c r="BKO11" s="207"/>
      <c r="BKP11" s="207"/>
      <c r="BKQ11" s="207"/>
      <c r="BKR11" s="207"/>
      <c r="BKS11" s="207"/>
      <c r="BKT11" s="207"/>
      <c r="BKU11" s="207"/>
      <c r="BKV11" s="207"/>
      <c r="BKW11" s="207"/>
      <c r="BKX11" s="207"/>
      <c r="BKY11" s="207"/>
      <c r="BKZ11" s="207"/>
      <c r="BLA11" s="207"/>
      <c r="BLB11" s="207"/>
      <c r="BLC11" s="207"/>
      <c r="BLD11" s="207"/>
      <c r="BLE11" s="207"/>
      <c r="BLF11" s="207"/>
      <c r="BLG11" s="207"/>
      <c r="BLH11" s="207"/>
      <c r="BLI11" s="207"/>
      <c r="BLJ11" s="207"/>
      <c r="BLK11" s="207"/>
      <c r="BLL11" s="207"/>
      <c r="BLM11" s="207"/>
      <c r="BLN11" s="207"/>
      <c r="BLO11" s="207"/>
      <c r="BLP11" s="207"/>
      <c r="BLQ11" s="207"/>
      <c r="BLR11" s="207"/>
      <c r="BLS11" s="207"/>
      <c r="BLT11" s="207"/>
      <c r="BLU11" s="207"/>
      <c r="BLV11" s="73"/>
    </row>
    <row r="12" spans="1:1686" ht="49.5" customHeight="1" thickBot="1" x14ac:dyDescent="0.3">
      <c r="B12" s="142"/>
      <c r="C12" s="232"/>
      <c r="D12" s="232"/>
      <c r="E12" s="232"/>
      <c r="F12" s="227" t="s">
        <v>66</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68</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38" t="s">
        <v>66</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08" t="s">
        <v>68</v>
      </c>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c r="IL12" s="208" t="s">
        <v>66</v>
      </c>
      <c r="IM12" s="208"/>
      <c r="IN12" s="208"/>
      <c r="IO12" s="208"/>
      <c r="IP12" s="208"/>
      <c r="IQ12" s="208"/>
      <c r="IR12" s="208"/>
      <c r="IS12" s="208"/>
      <c r="IT12" s="208"/>
      <c r="IU12" s="208"/>
      <c r="IV12" s="208"/>
      <c r="IW12" s="208"/>
      <c r="IX12" s="208"/>
      <c r="IY12" s="208"/>
      <c r="IZ12" s="208"/>
      <c r="JA12" s="208"/>
      <c r="JB12" s="208"/>
      <c r="JC12" s="208"/>
      <c r="JD12" s="208"/>
      <c r="JE12" s="208"/>
      <c r="JF12" s="208"/>
      <c r="JG12" s="208"/>
      <c r="JH12" s="208"/>
      <c r="JI12" s="208"/>
      <c r="JJ12" s="208"/>
      <c r="JK12" s="208"/>
      <c r="JL12" s="208"/>
      <c r="JM12" s="208"/>
      <c r="JN12" s="208"/>
      <c r="JO12" s="208"/>
      <c r="JP12" s="208"/>
      <c r="JQ12" s="208"/>
      <c r="JR12" s="208"/>
      <c r="JS12" s="208"/>
      <c r="JT12" s="208"/>
      <c r="JU12" s="208"/>
      <c r="JV12" s="208"/>
      <c r="JW12" s="208"/>
      <c r="JX12" s="208"/>
      <c r="JY12" s="208"/>
      <c r="JZ12" s="208"/>
      <c r="KA12" s="208"/>
      <c r="KB12" s="208"/>
      <c r="KC12" s="208"/>
      <c r="KD12" s="208"/>
      <c r="KE12" s="208"/>
      <c r="KF12" s="208"/>
      <c r="KG12" s="208"/>
      <c r="KH12" s="208"/>
      <c r="KI12" s="208"/>
      <c r="KJ12" s="208"/>
      <c r="KK12" s="208"/>
      <c r="KL12" s="208"/>
      <c r="KM12" s="208"/>
      <c r="KN12" s="208"/>
      <c r="KO12" s="208"/>
      <c r="KP12" s="208"/>
      <c r="KQ12" s="208"/>
      <c r="KR12" s="208"/>
      <c r="KS12" s="208"/>
      <c r="KT12" s="208" t="s">
        <v>68</v>
      </c>
      <c r="KU12" s="208"/>
      <c r="KV12" s="208"/>
      <c r="KW12" s="208"/>
      <c r="KX12" s="208"/>
      <c r="KY12" s="208"/>
      <c r="KZ12" s="208"/>
      <c r="LA12" s="208"/>
      <c r="LB12" s="208"/>
      <c r="LC12" s="208"/>
      <c r="LD12" s="208"/>
      <c r="LE12" s="208"/>
      <c r="LF12" s="208"/>
      <c r="LG12" s="208"/>
      <c r="LH12" s="208"/>
      <c r="LI12" s="208"/>
      <c r="LJ12" s="208"/>
      <c r="LK12" s="208"/>
      <c r="LL12" s="208"/>
      <c r="LM12" s="208"/>
      <c r="LN12" s="208"/>
      <c r="LO12" s="208"/>
      <c r="LP12" s="208"/>
      <c r="LQ12" s="208"/>
      <c r="LR12" s="208"/>
      <c r="LS12" s="208"/>
      <c r="LT12" s="208"/>
      <c r="LU12" s="208"/>
      <c r="LV12" s="208"/>
      <c r="LW12" s="208"/>
      <c r="LX12" s="208"/>
      <c r="LY12" s="208"/>
      <c r="LZ12" s="208"/>
      <c r="MA12" s="208"/>
      <c r="MB12" s="208"/>
      <c r="MC12" s="208"/>
      <c r="MD12" s="208"/>
      <c r="ME12" s="208"/>
      <c r="MF12" s="208"/>
      <c r="MG12" s="208"/>
      <c r="MH12" s="208"/>
      <c r="MI12" s="208"/>
      <c r="MJ12" s="208"/>
      <c r="MK12" s="208"/>
      <c r="ML12" s="208"/>
      <c r="MM12" s="208"/>
      <c r="MN12" s="208"/>
      <c r="MO12" s="208"/>
      <c r="MP12" s="208"/>
      <c r="MQ12" s="208"/>
      <c r="MR12" s="208"/>
      <c r="MS12" s="208"/>
      <c r="MT12" s="208"/>
      <c r="MU12" s="208"/>
      <c r="MV12" s="208"/>
      <c r="MW12" s="208"/>
      <c r="MX12" s="208"/>
      <c r="MY12" s="208"/>
      <c r="MZ12" s="208"/>
      <c r="NA12" s="208"/>
      <c r="NB12" s="208" t="s">
        <v>66</v>
      </c>
      <c r="NC12" s="208"/>
      <c r="ND12" s="208"/>
      <c r="NE12" s="208"/>
      <c r="NF12" s="208"/>
      <c r="NG12" s="208"/>
      <c r="NH12" s="208"/>
      <c r="NI12" s="208"/>
      <c r="NJ12" s="208"/>
      <c r="NK12" s="208"/>
      <c r="NL12" s="208"/>
      <c r="NM12" s="208"/>
      <c r="NN12" s="208"/>
      <c r="NO12" s="208"/>
      <c r="NP12" s="208"/>
      <c r="NQ12" s="208"/>
      <c r="NR12" s="208"/>
      <c r="NS12" s="208"/>
      <c r="NT12" s="208"/>
      <c r="NU12" s="208"/>
      <c r="NV12" s="208"/>
      <c r="NW12" s="208"/>
      <c r="NX12" s="208"/>
      <c r="NY12" s="208"/>
      <c r="NZ12" s="208"/>
      <c r="OA12" s="208"/>
      <c r="OB12" s="208"/>
      <c r="OC12" s="208"/>
      <c r="OD12" s="208"/>
      <c r="OE12" s="208"/>
      <c r="OF12" s="208"/>
      <c r="OG12" s="208"/>
      <c r="OH12" s="208"/>
      <c r="OI12" s="208"/>
      <c r="OJ12" s="208"/>
      <c r="OK12" s="208"/>
      <c r="OL12" s="208"/>
      <c r="OM12" s="208"/>
      <c r="ON12" s="208"/>
      <c r="OO12" s="208"/>
      <c r="OP12" s="208"/>
      <c r="OQ12" s="208"/>
      <c r="OR12" s="208"/>
      <c r="OS12" s="208"/>
      <c r="OT12" s="208"/>
      <c r="OU12" s="208"/>
      <c r="OV12" s="208"/>
      <c r="OW12" s="208"/>
      <c r="OX12" s="208"/>
      <c r="OY12" s="208"/>
      <c r="OZ12" s="208"/>
      <c r="PA12" s="208"/>
      <c r="PB12" s="208"/>
      <c r="PC12" s="208"/>
      <c r="PD12" s="208"/>
      <c r="PE12" s="208"/>
      <c r="PF12" s="208"/>
      <c r="PG12" s="208"/>
      <c r="PH12" s="208"/>
      <c r="PI12" s="208"/>
      <c r="PJ12" s="208" t="s">
        <v>68</v>
      </c>
      <c r="PK12" s="208"/>
      <c r="PL12" s="208"/>
      <c r="PM12" s="208"/>
      <c r="PN12" s="208"/>
      <c r="PO12" s="208"/>
      <c r="PP12" s="208"/>
      <c r="PQ12" s="208"/>
      <c r="PR12" s="208"/>
      <c r="PS12" s="208"/>
      <c r="PT12" s="208"/>
      <c r="PU12" s="208"/>
      <c r="PV12" s="208"/>
      <c r="PW12" s="208"/>
      <c r="PX12" s="208"/>
      <c r="PY12" s="208"/>
      <c r="PZ12" s="208"/>
      <c r="QA12" s="208"/>
      <c r="QB12" s="208"/>
      <c r="QC12" s="208"/>
      <c r="QD12" s="208"/>
      <c r="QE12" s="208"/>
      <c r="QF12" s="208"/>
      <c r="QG12" s="208"/>
      <c r="QH12" s="208"/>
      <c r="QI12" s="208"/>
      <c r="QJ12" s="208"/>
      <c r="QK12" s="208"/>
      <c r="QL12" s="208"/>
      <c r="QM12" s="208"/>
      <c r="QN12" s="208"/>
      <c r="QO12" s="208"/>
      <c r="QP12" s="208"/>
      <c r="QQ12" s="208"/>
      <c r="QR12" s="208"/>
      <c r="QS12" s="208"/>
      <c r="QT12" s="208"/>
      <c r="QU12" s="208"/>
      <c r="QV12" s="208"/>
      <c r="QW12" s="208"/>
      <c r="QX12" s="208"/>
      <c r="QY12" s="208"/>
      <c r="QZ12" s="208"/>
      <c r="RA12" s="208"/>
      <c r="RB12" s="208"/>
      <c r="RC12" s="208"/>
      <c r="RD12" s="208"/>
      <c r="RE12" s="208"/>
      <c r="RF12" s="208"/>
      <c r="RG12" s="208"/>
      <c r="RH12" s="208"/>
      <c r="RI12" s="208"/>
      <c r="RJ12" s="208"/>
      <c r="RK12" s="208"/>
      <c r="RL12" s="208"/>
      <c r="RM12" s="208"/>
      <c r="RN12" s="208"/>
      <c r="RO12" s="208"/>
      <c r="RP12" s="208"/>
      <c r="RQ12" s="208"/>
      <c r="RR12" s="208" t="s">
        <v>66</v>
      </c>
      <c r="RS12" s="208"/>
      <c r="RT12" s="208"/>
      <c r="RU12" s="208"/>
      <c r="RV12" s="208"/>
      <c r="RW12" s="208"/>
      <c r="RX12" s="208"/>
      <c r="RY12" s="208"/>
      <c r="RZ12" s="208"/>
      <c r="SA12" s="208"/>
      <c r="SB12" s="208"/>
      <c r="SC12" s="208"/>
      <c r="SD12" s="208"/>
      <c r="SE12" s="208"/>
      <c r="SF12" s="208"/>
      <c r="SG12" s="208"/>
      <c r="SH12" s="208"/>
      <c r="SI12" s="208"/>
      <c r="SJ12" s="208"/>
      <c r="SK12" s="208"/>
      <c r="SL12" s="208"/>
      <c r="SM12" s="208"/>
      <c r="SN12" s="208"/>
      <c r="SO12" s="208"/>
      <c r="SP12" s="208"/>
      <c r="SQ12" s="208"/>
      <c r="SR12" s="208"/>
      <c r="SS12" s="208"/>
      <c r="ST12" s="208"/>
      <c r="SU12" s="208"/>
      <c r="SV12" s="208"/>
      <c r="SW12" s="208"/>
      <c r="SX12" s="208"/>
      <c r="SY12" s="208"/>
      <c r="SZ12" s="208"/>
      <c r="TA12" s="208"/>
      <c r="TB12" s="208"/>
      <c r="TC12" s="208"/>
      <c r="TD12" s="208"/>
      <c r="TE12" s="208"/>
      <c r="TF12" s="208"/>
      <c r="TG12" s="208"/>
      <c r="TH12" s="208"/>
      <c r="TI12" s="208"/>
      <c r="TJ12" s="208"/>
      <c r="TK12" s="208"/>
      <c r="TL12" s="208"/>
      <c r="TM12" s="208"/>
      <c r="TN12" s="208"/>
      <c r="TO12" s="208"/>
      <c r="TP12" s="208"/>
      <c r="TQ12" s="208"/>
      <c r="TR12" s="208"/>
      <c r="TS12" s="208"/>
      <c r="TT12" s="208"/>
      <c r="TU12" s="208"/>
      <c r="TV12" s="208"/>
      <c r="TW12" s="208"/>
      <c r="TX12" s="208"/>
      <c r="TY12" s="208"/>
      <c r="TZ12" s="208" t="s">
        <v>66</v>
      </c>
      <c r="UA12" s="208"/>
      <c r="UB12" s="208"/>
      <c r="UC12" s="208"/>
      <c r="UD12" s="208"/>
      <c r="UE12" s="208"/>
      <c r="UF12" s="208"/>
      <c r="UG12" s="208"/>
      <c r="UH12" s="208"/>
      <c r="UI12" s="208"/>
      <c r="UJ12" s="208"/>
      <c r="UK12" s="208"/>
      <c r="UL12" s="208"/>
      <c r="UM12" s="208"/>
      <c r="UN12" s="208"/>
      <c r="UO12" s="208"/>
      <c r="UP12" s="208"/>
      <c r="UQ12" s="208"/>
      <c r="UR12" s="208"/>
      <c r="US12" s="208"/>
      <c r="UT12" s="208"/>
      <c r="UU12" s="208"/>
      <c r="UV12" s="208"/>
      <c r="UW12" s="208"/>
      <c r="UX12" s="208"/>
      <c r="UY12" s="208"/>
      <c r="UZ12" s="208"/>
      <c r="VA12" s="208"/>
      <c r="VB12" s="208"/>
      <c r="VC12" s="208"/>
      <c r="VD12" s="208"/>
      <c r="VE12" s="208"/>
      <c r="VF12" s="208"/>
      <c r="VG12" s="208"/>
      <c r="VH12" s="208"/>
      <c r="VI12" s="208"/>
      <c r="VJ12" s="208"/>
      <c r="VK12" s="208"/>
      <c r="VL12" s="208"/>
      <c r="VM12" s="208"/>
      <c r="VN12" s="208"/>
      <c r="VO12" s="208"/>
      <c r="VP12" s="208"/>
      <c r="VQ12" s="208"/>
      <c r="VR12" s="208"/>
      <c r="VS12" s="208"/>
      <c r="VT12" s="208"/>
      <c r="VU12" s="208"/>
      <c r="VV12" s="208"/>
      <c r="VW12" s="208"/>
      <c r="VX12" s="208"/>
      <c r="VY12" s="208"/>
      <c r="VZ12" s="208"/>
      <c r="WA12" s="208"/>
      <c r="WB12" s="208"/>
      <c r="WC12" s="208"/>
      <c r="WD12" s="208"/>
      <c r="WE12" s="208"/>
      <c r="WF12" s="208"/>
      <c r="WG12" s="208"/>
      <c r="WH12" s="208" t="s">
        <v>68</v>
      </c>
      <c r="WI12" s="208"/>
      <c r="WJ12" s="208"/>
      <c r="WK12" s="208"/>
      <c r="WL12" s="208"/>
      <c r="WM12" s="208"/>
      <c r="WN12" s="208"/>
      <c r="WO12" s="208"/>
      <c r="WP12" s="208"/>
      <c r="WQ12" s="208"/>
      <c r="WR12" s="208"/>
      <c r="WS12" s="208"/>
      <c r="WT12" s="208"/>
      <c r="WU12" s="208"/>
      <c r="WV12" s="208"/>
      <c r="WW12" s="208"/>
      <c r="WX12" s="208"/>
      <c r="WY12" s="208"/>
      <c r="WZ12" s="208"/>
      <c r="XA12" s="208"/>
      <c r="XB12" s="208"/>
      <c r="XC12" s="208"/>
      <c r="XD12" s="208"/>
      <c r="XE12" s="208"/>
      <c r="XF12" s="208"/>
      <c r="XG12" s="208"/>
      <c r="XH12" s="208"/>
      <c r="XI12" s="208"/>
      <c r="XJ12" s="208"/>
      <c r="XK12" s="208"/>
      <c r="XL12" s="208"/>
      <c r="XM12" s="208"/>
      <c r="XN12" s="208"/>
      <c r="XO12" s="208"/>
      <c r="XP12" s="208"/>
      <c r="XQ12" s="208"/>
      <c r="XR12" s="208"/>
      <c r="XS12" s="208"/>
      <c r="XT12" s="208"/>
      <c r="XU12" s="208"/>
      <c r="XV12" s="208"/>
      <c r="XW12" s="208"/>
      <c r="XX12" s="208"/>
      <c r="XY12" s="208"/>
      <c r="XZ12" s="208"/>
      <c r="YA12" s="208"/>
      <c r="YB12" s="208"/>
      <c r="YC12" s="208"/>
      <c r="YD12" s="208"/>
      <c r="YE12" s="208"/>
      <c r="YF12" s="208"/>
      <c r="YG12" s="208"/>
      <c r="YH12" s="208"/>
      <c r="YI12" s="208"/>
      <c r="YJ12" s="208"/>
      <c r="YK12" s="208"/>
      <c r="YL12" s="208"/>
      <c r="YM12" s="208"/>
      <c r="YN12" s="208"/>
      <c r="YO12" s="208"/>
      <c r="YP12" s="208" t="s">
        <v>66</v>
      </c>
      <c r="YQ12" s="208"/>
      <c r="YR12" s="208"/>
      <c r="YS12" s="208"/>
      <c r="YT12" s="208"/>
      <c r="YU12" s="208"/>
      <c r="YV12" s="208"/>
      <c r="YW12" s="208"/>
      <c r="YX12" s="208"/>
      <c r="YY12" s="208"/>
      <c r="YZ12" s="208"/>
      <c r="ZA12" s="208"/>
      <c r="ZB12" s="208"/>
      <c r="ZC12" s="208"/>
      <c r="ZD12" s="208"/>
      <c r="ZE12" s="208"/>
      <c r="ZF12" s="208"/>
      <c r="ZG12" s="208"/>
      <c r="ZH12" s="208"/>
      <c r="ZI12" s="208"/>
      <c r="ZJ12" s="208"/>
      <c r="ZK12" s="208"/>
      <c r="ZL12" s="208"/>
      <c r="ZM12" s="208"/>
      <c r="ZN12" s="208"/>
      <c r="ZO12" s="208"/>
      <c r="ZP12" s="208"/>
      <c r="ZQ12" s="208"/>
      <c r="ZR12" s="208"/>
      <c r="ZS12" s="208"/>
      <c r="ZT12" s="208"/>
      <c r="ZU12" s="208"/>
      <c r="ZV12" s="208"/>
      <c r="ZW12" s="208"/>
      <c r="ZX12" s="208"/>
      <c r="ZY12" s="208"/>
      <c r="ZZ12" s="208"/>
      <c r="AAA12" s="208"/>
      <c r="AAB12" s="208"/>
      <c r="AAC12" s="208"/>
      <c r="AAD12" s="208"/>
      <c r="AAE12" s="208"/>
      <c r="AAF12" s="208"/>
      <c r="AAG12" s="208"/>
      <c r="AAH12" s="208"/>
      <c r="AAI12" s="208"/>
      <c r="AAJ12" s="208"/>
      <c r="AAK12" s="208"/>
      <c r="AAL12" s="208"/>
      <c r="AAM12" s="208"/>
      <c r="AAN12" s="208"/>
      <c r="AAO12" s="208"/>
      <c r="AAP12" s="208"/>
      <c r="AAQ12" s="208"/>
      <c r="AAR12" s="208"/>
      <c r="AAS12" s="208"/>
      <c r="AAT12" s="208"/>
      <c r="AAU12" s="208"/>
      <c r="AAV12" s="208"/>
      <c r="AAW12" s="208"/>
      <c r="AAX12" s="208" t="s">
        <v>68</v>
      </c>
      <c r="AAY12" s="208"/>
      <c r="AAZ12" s="208"/>
      <c r="ABA12" s="208"/>
      <c r="ABB12" s="208"/>
      <c r="ABC12" s="208"/>
      <c r="ABD12" s="208"/>
      <c r="ABE12" s="208"/>
      <c r="ABF12" s="208"/>
      <c r="ABG12" s="208"/>
      <c r="ABH12" s="208"/>
      <c r="ABI12" s="208"/>
      <c r="ABJ12" s="208"/>
      <c r="ABK12" s="208"/>
      <c r="ABL12" s="208"/>
      <c r="ABM12" s="208"/>
      <c r="ABN12" s="208"/>
      <c r="ABO12" s="208"/>
      <c r="ABP12" s="208"/>
      <c r="ABQ12" s="208"/>
      <c r="ABR12" s="208"/>
      <c r="ABS12" s="208"/>
      <c r="ABT12" s="208"/>
      <c r="ABU12" s="208"/>
      <c r="ABV12" s="208"/>
      <c r="ABW12" s="208"/>
      <c r="ABX12" s="208"/>
      <c r="ABY12" s="208"/>
      <c r="ABZ12" s="208"/>
      <c r="ACA12" s="208"/>
      <c r="ACB12" s="208"/>
      <c r="ACC12" s="208"/>
      <c r="ACD12" s="208"/>
      <c r="ACE12" s="208"/>
      <c r="ACF12" s="208"/>
      <c r="ACG12" s="208"/>
      <c r="ACH12" s="208"/>
      <c r="ACI12" s="208"/>
      <c r="ACJ12" s="208"/>
      <c r="ACK12" s="208"/>
      <c r="ACL12" s="208"/>
      <c r="ACM12" s="208"/>
      <c r="ACN12" s="208"/>
      <c r="ACO12" s="208"/>
      <c r="ACP12" s="208"/>
      <c r="ACQ12" s="208"/>
      <c r="ACR12" s="208"/>
      <c r="ACS12" s="208"/>
      <c r="ACT12" s="208"/>
      <c r="ACU12" s="208"/>
      <c r="ACV12" s="208"/>
      <c r="ACW12" s="208"/>
      <c r="ACX12" s="208"/>
      <c r="ACY12" s="208"/>
      <c r="ACZ12" s="208"/>
      <c r="ADA12" s="208"/>
      <c r="ADB12" s="208"/>
      <c r="ADC12" s="208"/>
      <c r="ADD12" s="208"/>
      <c r="ADE12" s="208"/>
      <c r="ADF12" s="208" t="s">
        <v>66</v>
      </c>
      <c r="ADG12" s="208"/>
      <c r="ADH12" s="208"/>
      <c r="ADI12" s="208"/>
      <c r="ADJ12" s="208"/>
      <c r="ADK12" s="208"/>
      <c r="ADL12" s="208"/>
      <c r="ADM12" s="208"/>
      <c r="ADN12" s="208"/>
      <c r="ADO12" s="208"/>
      <c r="ADP12" s="208"/>
      <c r="ADQ12" s="208"/>
      <c r="ADR12" s="208"/>
      <c r="ADS12" s="208"/>
      <c r="ADT12" s="208"/>
      <c r="ADU12" s="208"/>
      <c r="ADV12" s="208"/>
      <c r="ADW12" s="208"/>
      <c r="ADX12" s="208"/>
      <c r="ADY12" s="208"/>
      <c r="ADZ12" s="208"/>
      <c r="AEA12" s="208"/>
      <c r="AEB12" s="208"/>
      <c r="AEC12" s="208"/>
      <c r="AED12" s="208"/>
      <c r="AEE12" s="208"/>
      <c r="AEF12" s="208"/>
      <c r="AEG12" s="208"/>
      <c r="AEH12" s="208"/>
      <c r="AEI12" s="208"/>
      <c r="AEJ12" s="208"/>
      <c r="AEK12" s="208"/>
      <c r="AEL12" s="208"/>
      <c r="AEM12" s="208"/>
      <c r="AEN12" s="208"/>
      <c r="AEO12" s="208"/>
      <c r="AEP12" s="208"/>
      <c r="AEQ12" s="208"/>
      <c r="AER12" s="208"/>
      <c r="AES12" s="208"/>
      <c r="AET12" s="208"/>
      <c r="AEU12" s="208"/>
      <c r="AEV12" s="208"/>
      <c r="AEW12" s="208"/>
      <c r="AEX12" s="208"/>
      <c r="AEY12" s="208"/>
      <c r="AEZ12" s="208"/>
      <c r="AFA12" s="208"/>
      <c r="AFB12" s="208"/>
      <c r="AFC12" s="208"/>
      <c r="AFD12" s="208"/>
      <c r="AFE12" s="208"/>
      <c r="AFF12" s="208"/>
      <c r="AFG12" s="208"/>
      <c r="AFH12" s="208"/>
      <c r="AFI12" s="208"/>
      <c r="AFJ12" s="208"/>
      <c r="AFK12" s="208"/>
      <c r="AFL12" s="208"/>
      <c r="AFM12" s="208"/>
      <c r="AFN12" s="208" t="s">
        <v>68</v>
      </c>
      <c r="AFO12" s="208"/>
      <c r="AFP12" s="208"/>
      <c r="AFQ12" s="208"/>
      <c r="AFR12" s="208"/>
      <c r="AFS12" s="208"/>
      <c r="AFT12" s="208"/>
      <c r="AFU12" s="208"/>
      <c r="AFV12" s="208"/>
      <c r="AFW12" s="208"/>
      <c r="AFX12" s="208"/>
      <c r="AFY12" s="208"/>
      <c r="AFZ12" s="208"/>
      <c r="AGA12" s="208"/>
      <c r="AGB12" s="208"/>
      <c r="AGC12" s="208"/>
      <c r="AGD12" s="208"/>
      <c r="AGE12" s="208"/>
      <c r="AGF12" s="208"/>
      <c r="AGG12" s="208"/>
      <c r="AGH12" s="208"/>
      <c r="AGI12" s="208"/>
      <c r="AGJ12" s="208"/>
      <c r="AGK12" s="208"/>
      <c r="AGL12" s="208"/>
      <c r="AGM12" s="208"/>
      <c r="AGN12" s="208"/>
      <c r="AGO12" s="208"/>
      <c r="AGP12" s="208"/>
      <c r="AGQ12" s="208"/>
      <c r="AGR12" s="208"/>
      <c r="AGS12" s="208"/>
      <c r="AGT12" s="208"/>
      <c r="AGU12" s="208"/>
      <c r="AGV12" s="208"/>
      <c r="AGW12" s="208"/>
      <c r="AGX12" s="208"/>
      <c r="AGY12" s="208"/>
      <c r="AGZ12" s="208"/>
      <c r="AHA12" s="208"/>
      <c r="AHB12" s="208"/>
      <c r="AHC12" s="208"/>
      <c r="AHD12" s="208"/>
      <c r="AHE12" s="208"/>
      <c r="AHF12" s="208"/>
      <c r="AHG12" s="208"/>
      <c r="AHH12" s="208"/>
      <c r="AHI12" s="208"/>
      <c r="AHJ12" s="208"/>
      <c r="AHK12" s="208"/>
      <c r="AHL12" s="208"/>
      <c r="AHM12" s="208"/>
      <c r="AHN12" s="208"/>
      <c r="AHO12" s="208"/>
      <c r="AHP12" s="208"/>
      <c r="AHQ12" s="208"/>
      <c r="AHR12" s="208"/>
      <c r="AHS12" s="208"/>
      <c r="AHT12" s="208"/>
      <c r="AHU12" s="208"/>
      <c r="AHV12" s="208" t="s">
        <v>66</v>
      </c>
      <c r="AHW12" s="208"/>
      <c r="AHX12" s="208"/>
      <c r="AHY12" s="208"/>
      <c r="AHZ12" s="208"/>
      <c r="AIA12" s="208"/>
      <c r="AIB12" s="208"/>
      <c r="AIC12" s="208"/>
      <c r="AID12" s="208"/>
      <c r="AIE12" s="208"/>
      <c r="AIF12" s="208"/>
      <c r="AIG12" s="208"/>
      <c r="AIH12" s="208"/>
      <c r="AII12" s="208"/>
      <c r="AIJ12" s="208"/>
      <c r="AIK12" s="208"/>
      <c r="AIL12" s="208"/>
      <c r="AIM12" s="208"/>
      <c r="AIN12" s="208"/>
      <c r="AIO12" s="208"/>
      <c r="AIP12" s="208"/>
      <c r="AIQ12" s="208"/>
      <c r="AIR12" s="208"/>
      <c r="AIS12" s="208"/>
      <c r="AIT12" s="208"/>
      <c r="AIU12" s="208"/>
      <c r="AIV12" s="208"/>
      <c r="AIW12" s="208"/>
      <c r="AIX12" s="208"/>
      <c r="AIY12" s="208"/>
      <c r="AIZ12" s="208"/>
      <c r="AJA12" s="208"/>
      <c r="AJB12" s="208"/>
      <c r="AJC12" s="208"/>
      <c r="AJD12" s="208"/>
      <c r="AJE12" s="208"/>
      <c r="AJF12" s="208"/>
      <c r="AJG12" s="208"/>
      <c r="AJH12" s="208"/>
      <c r="AJI12" s="208"/>
      <c r="AJJ12" s="208"/>
      <c r="AJK12" s="208"/>
      <c r="AJL12" s="208"/>
      <c r="AJM12" s="208"/>
      <c r="AJN12" s="208"/>
      <c r="AJO12" s="208"/>
      <c r="AJP12" s="208"/>
      <c r="AJQ12" s="208"/>
      <c r="AJR12" s="208"/>
      <c r="AJS12" s="208"/>
      <c r="AJT12" s="208"/>
      <c r="AJU12" s="208"/>
      <c r="AJV12" s="208"/>
      <c r="AJW12" s="208"/>
      <c r="AJX12" s="208"/>
      <c r="AJY12" s="208"/>
      <c r="AJZ12" s="208"/>
      <c r="AKA12" s="208"/>
      <c r="AKB12" s="208"/>
      <c r="AKC12" s="208"/>
      <c r="AKD12" s="208" t="s">
        <v>68</v>
      </c>
      <c r="AKE12" s="208"/>
      <c r="AKF12" s="208"/>
      <c r="AKG12" s="208"/>
      <c r="AKH12" s="208"/>
      <c r="AKI12" s="208"/>
      <c r="AKJ12" s="208"/>
      <c r="AKK12" s="208"/>
      <c r="AKL12" s="208"/>
      <c r="AKM12" s="208"/>
      <c r="AKN12" s="208"/>
      <c r="AKO12" s="208"/>
      <c r="AKP12" s="208"/>
      <c r="AKQ12" s="208"/>
      <c r="AKR12" s="208"/>
      <c r="AKS12" s="208"/>
      <c r="AKT12" s="208"/>
      <c r="AKU12" s="208"/>
      <c r="AKV12" s="208"/>
      <c r="AKW12" s="208"/>
      <c r="AKX12" s="208"/>
      <c r="AKY12" s="208"/>
      <c r="AKZ12" s="208"/>
      <c r="ALA12" s="208"/>
      <c r="ALB12" s="208"/>
      <c r="ALC12" s="208"/>
      <c r="ALD12" s="208"/>
      <c r="ALE12" s="208"/>
      <c r="ALF12" s="208"/>
      <c r="ALG12" s="208"/>
      <c r="ALH12" s="208"/>
      <c r="ALI12" s="208"/>
      <c r="ALJ12" s="208"/>
      <c r="ALK12" s="208"/>
      <c r="ALL12" s="208"/>
      <c r="ALM12" s="208"/>
      <c r="ALN12" s="208"/>
      <c r="ALO12" s="208"/>
      <c r="ALP12" s="208"/>
      <c r="ALQ12" s="208"/>
      <c r="ALR12" s="208"/>
      <c r="ALS12" s="208"/>
      <c r="ALT12" s="208"/>
      <c r="ALU12" s="208"/>
      <c r="ALV12" s="208"/>
      <c r="ALW12" s="208"/>
      <c r="ALX12" s="208"/>
      <c r="ALY12" s="208"/>
      <c r="ALZ12" s="208"/>
      <c r="AMA12" s="208"/>
      <c r="AMB12" s="208"/>
      <c r="AMC12" s="208"/>
      <c r="AMD12" s="208"/>
      <c r="AME12" s="208"/>
      <c r="AMF12" s="208"/>
      <c r="AMG12" s="208"/>
      <c r="AMH12" s="208"/>
      <c r="AMI12" s="208"/>
      <c r="AMJ12" s="208"/>
      <c r="AMK12" s="208"/>
      <c r="AML12" s="208" t="s">
        <v>66</v>
      </c>
      <c r="AMM12" s="208"/>
      <c r="AMN12" s="208"/>
      <c r="AMO12" s="208"/>
      <c r="AMP12" s="208"/>
      <c r="AMQ12" s="208"/>
      <c r="AMR12" s="208"/>
      <c r="AMS12" s="208"/>
      <c r="AMT12" s="208"/>
      <c r="AMU12" s="208"/>
      <c r="AMV12" s="208"/>
      <c r="AMW12" s="208"/>
      <c r="AMX12" s="208"/>
      <c r="AMY12" s="208"/>
      <c r="AMZ12" s="208"/>
      <c r="ANA12" s="208"/>
      <c r="ANB12" s="208"/>
      <c r="ANC12" s="208"/>
      <c r="AND12" s="208"/>
      <c r="ANE12" s="208"/>
      <c r="ANF12" s="208"/>
      <c r="ANG12" s="208"/>
      <c r="ANH12" s="208"/>
      <c r="ANI12" s="208"/>
      <c r="ANJ12" s="208"/>
      <c r="ANK12" s="208"/>
      <c r="ANL12" s="208"/>
      <c r="ANM12" s="208"/>
      <c r="ANN12" s="208"/>
      <c r="ANO12" s="208"/>
      <c r="ANP12" s="208"/>
      <c r="ANQ12" s="208"/>
      <c r="ANR12" s="208"/>
      <c r="ANS12" s="208"/>
      <c r="ANT12" s="208"/>
      <c r="ANU12" s="208"/>
      <c r="ANV12" s="208"/>
      <c r="ANW12" s="208"/>
      <c r="ANX12" s="208"/>
      <c r="ANY12" s="208"/>
      <c r="ANZ12" s="208"/>
      <c r="AOA12" s="208"/>
      <c r="AOB12" s="208"/>
      <c r="AOC12" s="208"/>
      <c r="AOD12" s="208"/>
      <c r="AOE12" s="208"/>
      <c r="AOF12" s="208"/>
      <c r="AOG12" s="208"/>
      <c r="AOH12" s="208"/>
      <c r="AOI12" s="208"/>
      <c r="AOJ12" s="208"/>
      <c r="AOK12" s="208"/>
      <c r="AOL12" s="208"/>
      <c r="AOM12" s="208"/>
      <c r="AON12" s="208"/>
      <c r="AOO12" s="208"/>
      <c r="AOP12" s="208"/>
      <c r="AOQ12" s="208"/>
      <c r="AOR12" s="208"/>
      <c r="AOS12" s="208"/>
      <c r="AOT12" s="208" t="s">
        <v>66</v>
      </c>
      <c r="AOU12" s="208"/>
      <c r="AOV12" s="208"/>
      <c r="AOW12" s="208"/>
      <c r="AOX12" s="208"/>
      <c r="AOY12" s="208"/>
      <c r="AOZ12" s="208"/>
      <c r="APA12" s="208"/>
      <c r="APB12" s="208"/>
      <c r="APC12" s="208"/>
      <c r="APD12" s="208"/>
      <c r="APE12" s="208"/>
      <c r="APF12" s="208"/>
      <c r="APG12" s="208"/>
      <c r="APH12" s="208"/>
      <c r="API12" s="208"/>
      <c r="APJ12" s="208"/>
      <c r="APK12" s="208"/>
      <c r="APL12" s="208"/>
      <c r="APM12" s="208"/>
      <c r="APN12" s="208"/>
      <c r="APO12" s="208"/>
      <c r="APP12" s="208"/>
      <c r="APQ12" s="208"/>
      <c r="APR12" s="208"/>
      <c r="APS12" s="208"/>
      <c r="APT12" s="208"/>
      <c r="APU12" s="208"/>
      <c r="APV12" s="208"/>
      <c r="APW12" s="208"/>
      <c r="APX12" s="208"/>
      <c r="APY12" s="208"/>
      <c r="APZ12" s="208"/>
      <c r="AQA12" s="208"/>
      <c r="AQB12" s="208"/>
      <c r="AQC12" s="208"/>
      <c r="AQD12" s="208"/>
      <c r="AQE12" s="208"/>
      <c r="AQF12" s="208"/>
      <c r="AQG12" s="208"/>
      <c r="AQH12" s="208"/>
      <c r="AQI12" s="208"/>
      <c r="AQJ12" s="208"/>
      <c r="AQK12" s="208"/>
      <c r="AQL12" s="208"/>
      <c r="AQM12" s="208"/>
      <c r="AQN12" s="208"/>
      <c r="AQO12" s="208"/>
      <c r="AQP12" s="208"/>
      <c r="AQQ12" s="208"/>
      <c r="AQR12" s="208"/>
      <c r="AQS12" s="208"/>
      <c r="AQT12" s="208"/>
      <c r="AQU12" s="208"/>
      <c r="AQV12" s="208"/>
      <c r="AQW12" s="208"/>
      <c r="AQX12" s="208"/>
      <c r="AQY12" s="208"/>
      <c r="AQZ12" s="208"/>
      <c r="ARA12" s="208"/>
      <c r="ARB12" s="208" t="s">
        <v>68</v>
      </c>
      <c r="ARC12" s="208"/>
      <c r="ARD12" s="208"/>
      <c r="ARE12" s="208"/>
      <c r="ARF12" s="208"/>
      <c r="ARG12" s="208"/>
      <c r="ARH12" s="208"/>
      <c r="ARI12" s="208"/>
      <c r="ARJ12" s="208"/>
      <c r="ARK12" s="208"/>
      <c r="ARL12" s="208"/>
      <c r="ARM12" s="208"/>
      <c r="ARN12" s="208"/>
      <c r="ARO12" s="208"/>
      <c r="ARP12" s="208"/>
      <c r="ARQ12" s="208"/>
      <c r="ARR12" s="208"/>
      <c r="ARS12" s="208"/>
      <c r="ART12" s="208"/>
      <c r="ARU12" s="208"/>
      <c r="ARV12" s="208"/>
      <c r="ARW12" s="208"/>
      <c r="ARX12" s="208"/>
      <c r="ARY12" s="208"/>
      <c r="ARZ12" s="208"/>
      <c r="ASA12" s="208"/>
      <c r="ASB12" s="208"/>
      <c r="ASC12" s="208"/>
      <c r="ASD12" s="208"/>
      <c r="ASE12" s="208"/>
      <c r="ASF12" s="208"/>
      <c r="ASG12" s="208"/>
      <c r="ASH12" s="208"/>
      <c r="ASI12" s="208"/>
      <c r="ASJ12" s="208"/>
      <c r="ASK12" s="208"/>
      <c r="ASL12" s="208"/>
      <c r="ASM12" s="208"/>
      <c r="ASN12" s="208"/>
      <c r="ASO12" s="208"/>
      <c r="ASP12" s="208"/>
      <c r="ASQ12" s="208"/>
      <c r="ASR12" s="208"/>
      <c r="ASS12" s="208"/>
      <c r="AST12" s="208"/>
      <c r="ASU12" s="208"/>
      <c r="ASV12" s="208"/>
      <c r="ASW12" s="208"/>
      <c r="ASX12" s="208"/>
      <c r="ASY12" s="208"/>
      <c r="ASZ12" s="208"/>
      <c r="ATA12" s="208"/>
      <c r="ATB12" s="208"/>
      <c r="ATC12" s="208"/>
      <c r="ATD12" s="208"/>
      <c r="ATE12" s="208"/>
      <c r="ATF12" s="208"/>
      <c r="ATG12" s="208"/>
      <c r="ATH12" s="208"/>
      <c r="ATI12" s="208"/>
      <c r="ATJ12" s="208" t="s">
        <v>66</v>
      </c>
      <c r="ATK12" s="208"/>
      <c r="ATL12" s="208"/>
      <c r="ATM12" s="208"/>
      <c r="ATN12" s="208"/>
      <c r="ATO12" s="208"/>
      <c r="ATP12" s="208"/>
      <c r="ATQ12" s="208"/>
      <c r="ATR12" s="208"/>
      <c r="ATS12" s="208"/>
      <c r="ATT12" s="208"/>
      <c r="ATU12" s="208"/>
      <c r="ATV12" s="208"/>
      <c r="ATW12" s="208"/>
      <c r="ATX12" s="208"/>
      <c r="ATY12" s="208"/>
      <c r="ATZ12" s="208"/>
      <c r="AUA12" s="208"/>
      <c r="AUB12" s="208"/>
      <c r="AUC12" s="208"/>
      <c r="AUD12" s="208"/>
      <c r="AUE12" s="208"/>
      <c r="AUF12" s="208"/>
      <c r="AUG12" s="208"/>
      <c r="AUH12" s="208"/>
      <c r="AUI12" s="208"/>
      <c r="AUJ12" s="208"/>
      <c r="AUK12" s="208"/>
      <c r="AUL12" s="208"/>
      <c r="AUM12" s="208"/>
      <c r="AUN12" s="208"/>
      <c r="AUO12" s="208"/>
      <c r="AUP12" s="208"/>
      <c r="AUQ12" s="208"/>
      <c r="AUR12" s="208"/>
      <c r="AUS12" s="208"/>
      <c r="AUT12" s="208"/>
      <c r="AUU12" s="208"/>
      <c r="AUV12" s="208"/>
      <c r="AUW12" s="208"/>
      <c r="AUX12" s="208"/>
      <c r="AUY12" s="208"/>
      <c r="AUZ12" s="208"/>
      <c r="AVA12" s="208"/>
      <c r="AVB12" s="208"/>
      <c r="AVC12" s="208"/>
      <c r="AVD12" s="208"/>
      <c r="AVE12" s="208"/>
      <c r="AVF12" s="208"/>
      <c r="AVG12" s="208"/>
      <c r="AVH12" s="208"/>
      <c r="AVI12" s="208"/>
      <c r="AVJ12" s="208"/>
      <c r="AVK12" s="208"/>
      <c r="AVL12" s="208"/>
      <c r="AVM12" s="208"/>
      <c r="AVN12" s="208"/>
      <c r="AVO12" s="208"/>
      <c r="AVP12" s="208"/>
      <c r="AVQ12" s="208"/>
      <c r="AVR12" s="208" t="s">
        <v>68</v>
      </c>
      <c r="AVS12" s="208"/>
      <c r="AVT12" s="208"/>
      <c r="AVU12" s="208"/>
      <c r="AVV12" s="208"/>
      <c r="AVW12" s="208"/>
      <c r="AVX12" s="208"/>
      <c r="AVY12" s="208"/>
      <c r="AVZ12" s="208"/>
      <c r="AWA12" s="208"/>
      <c r="AWB12" s="208"/>
      <c r="AWC12" s="208"/>
      <c r="AWD12" s="208"/>
      <c r="AWE12" s="208"/>
      <c r="AWF12" s="208"/>
      <c r="AWG12" s="208"/>
      <c r="AWH12" s="208"/>
      <c r="AWI12" s="208"/>
      <c r="AWJ12" s="208"/>
      <c r="AWK12" s="208"/>
      <c r="AWL12" s="208"/>
      <c r="AWM12" s="208"/>
      <c r="AWN12" s="208"/>
      <c r="AWO12" s="208"/>
      <c r="AWP12" s="208"/>
      <c r="AWQ12" s="208"/>
      <c r="AWR12" s="208"/>
      <c r="AWS12" s="208"/>
      <c r="AWT12" s="208"/>
      <c r="AWU12" s="208"/>
      <c r="AWV12" s="208"/>
      <c r="AWW12" s="208"/>
      <c r="AWX12" s="208"/>
      <c r="AWY12" s="208"/>
      <c r="AWZ12" s="208"/>
      <c r="AXA12" s="208"/>
      <c r="AXB12" s="208"/>
      <c r="AXC12" s="208"/>
      <c r="AXD12" s="208"/>
      <c r="AXE12" s="208"/>
      <c r="AXF12" s="208"/>
      <c r="AXG12" s="208"/>
      <c r="AXH12" s="208"/>
      <c r="AXI12" s="208"/>
      <c r="AXJ12" s="208"/>
      <c r="AXK12" s="208"/>
      <c r="AXL12" s="208"/>
      <c r="AXM12" s="208"/>
      <c r="AXN12" s="208"/>
      <c r="AXO12" s="208"/>
      <c r="AXP12" s="208"/>
      <c r="AXQ12" s="208"/>
      <c r="AXR12" s="208"/>
      <c r="AXS12" s="208"/>
      <c r="AXT12" s="208"/>
      <c r="AXU12" s="208"/>
      <c r="AXV12" s="208"/>
      <c r="AXW12" s="208"/>
      <c r="AXX12" s="208"/>
      <c r="AXY12" s="208"/>
      <c r="AXZ12" s="208" t="s">
        <v>66</v>
      </c>
      <c r="AYA12" s="208"/>
      <c r="AYB12" s="208"/>
      <c r="AYC12" s="208"/>
      <c r="AYD12" s="208"/>
      <c r="AYE12" s="208"/>
      <c r="AYF12" s="208"/>
      <c r="AYG12" s="208"/>
      <c r="AYH12" s="208"/>
      <c r="AYI12" s="208"/>
      <c r="AYJ12" s="208"/>
      <c r="AYK12" s="208"/>
      <c r="AYL12" s="208"/>
      <c r="AYM12" s="208"/>
      <c r="AYN12" s="208"/>
      <c r="AYO12" s="208"/>
      <c r="AYP12" s="208"/>
      <c r="AYQ12" s="208"/>
      <c r="AYR12" s="208"/>
      <c r="AYS12" s="208"/>
      <c r="AYT12" s="208"/>
      <c r="AYU12" s="208"/>
      <c r="AYV12" s="208"/>
      <c r="AYW12" s="208"/>
      <c r="AYX12" s="208"/>
      <c r="AYY12" s="208"/>
      <c r="AYZ12" s="208"/>
      <c r="AZA12" s="208"/>
      <c r="AZB12" s="208"/>
      <c r="AZC12" s="208"/>
      <c r="AZD12" s="208"/>
      <c r="AZE12" s="208"/>
      <c r="AZF12" s="208"/>
      <c r="AZG12" s="208"/>
      <c r="AZH12" s="208"/>
      <c r="AZI12" s="208"/>
      <c r="AZJ12" s="208"/>
      <c r="AZK12" s="208"/>
      <c r="AZL12" s="208"/>
      <c r="AZM12" s="208"/>
      <c r="AZN12" s="208"/>
      <c r="AZO12" s="208"/>
      <c r="AZP12" s="208"/>
      <c r="AZQ12" s="208"/>
      <c r="AZR12" s="208"/>
      <c r="AZS12" s="208"/>
      <c r="AZT12" s="208"/>
      <c r="AZU12" s="208"/>
      <c r="AZV12" s="208"/>
      <c r="AZW12" s="208"/>
      <c r="AZX12" s="208"/>
      <c r="AZY12" s="208"/>
      <c r="AZZ12" s="208"/>
      <c r="BAA12" s="208"/>
      <c r="BAB12" s="208"/>
      <c r="BAC12" s="208"/>
      <c r="BAD12" s="208"/>
      <c r="BAE12" s="208"/>
      <c r="BAF12" s="208"/>
      <c r="BAG12" s="208"/>
      <c r="BAH12" s="208" t="s">
        <v>68</v>
      </c>
      <c r="BAI12" s="208"/>
      <c r="BAJ12" s="208"/>
      <c r="BAK12" s="208"/>
      <c r="BAL12" s="208"/>
      <c r="BAM12" s="208"/>
      <c r="BAN12" s="208"/>
      <c r="BAO12" s="208"/>
      <c r="BAP12" s="208"/>
      <c r="BAQ12" s="208"/>
      <c r="BAR12" s="208"/>
      <c r="BAS12" s="208"/>
      <c r="BAT12" s="208"/>
      <c r="BAU12" s="208"/>
      <c r="BAV12" s="208"/>
      <c r="BAW12" s="208"/>
      <c r="BAX12" s="208"/>
      <c r="BAY12" s="208"/>
      <c r="BAZ12" s="208"/>
      <c r="BBA12" s="208"/>
      <c r="BBB12" s="208"/>
      <c r="BBC12" s="208"/>
      <c r="BBD12" s="208"/>
      <c r="BBE12" s="208"/>
      <c r="BBF12" s="208"/>
      <c r="BBG12" s="208"/>
      <c r="BBH12" s="208"/>
      <c r="BBI12" s="208"/>
      <c r="BBJ12" s="208"/>
      <c r="BBK12" s="208"/>
      <c r="BBL12" s="208"/>
      <c r="BBM12" s="208"/>
      <c r="BBN12" s="208"/>
      <c r="BBO12" s="208"/>
      <c r="BBP12" s="208"/>
      <c r="BBQ12" s="208"/>
      <c r="BBR12" s="208"/>
      <c r="BBS12" s="208"/>
      <c r="BBT12" s="208"/>
      <c r="BBU12" s="208"/>
      <c r="BBV12" s="208"/>
      <c r="BBW12" s="208"/>
      <c r="BBX12" s="208"/>
      <c r="BBY12" s="208"/>
      <c r="BBZ12" s="208"/>
      <c r="BCA12" s="208"/>
      <c r="BCB12" s="208"/>
      <c r="BCC12" s="208"/>
      <c r="BCD12" s="208"/>
      <c r="BCE12" s="208"/>
      <c r="BCF12" s="208"/>
      <c r="BCG12" s="208"/>
      <c r="BCH12" s="208"/>
      <c r="BCI12" s="208"/>
      <c r="BCJ12" s="208"/>
      <c r="BCK12" s="208"/>
      <c r="BCL12" s="208"/>
      <c r="BCM12" s="208"/>
      <c r="BCN12" s="208"/>
      <c r="BCO12" s="208"/>
      <c r="BCP12" s="208" t="s">
        <v>66</v>
      </c>
      <c r="BCQ12" s="208"/>
      <c r="BCR12" s="208"/>
      <c r="BCS12" s="208"/>
      <c r="BCT12" s="208"/>
      <c r="BCU12" s="208"/>
      <c r="BCV12" s="208"/>
      <c r="BCW12" s="208"/>
      <c r="BCX12" s="208"/>
      <c r="BCY12" s="208"/>
      <c r="BCZ12" s="208"/>
      <c r="BDA12" s="208"/>
      <c r="BDB12" s="208"/>
      <c r="BDC12" s="208"/>
      <c r="BDD12" s="208"/>
      <c r="BDE12" s="208"/>
      <c r="BDF12" s="208"/>
      <c r="BDG12" s="208"/>
      <c r="BDH12" s="208"/>
      <c r="BDI12" s="208"/>
      <c r="BDJ12" s="208"/>
      <c r="BDK12" s="208"/>
      <c r="BDL12" s="208"/>
      <c r="BDM12" s="208"/>
      <c r="BDN12" s="208"/>
      <c r="BDO12" s="208"/>
      <c r="BDP12" s="208"/>
      <c r="BDQ12" s="208"/>
      <c r="BDR12" s="208"/>
      <c r="BDS12" s="208"/>
      <c r="BDT12" s="208"/>
      <c r="BDU12" s="208"/>
      <c r="BDV12" s="208"/>
      <c r="BDW12" s="208"/>
      <c r="BDX12" s="208"/>
      <c r="BDY12" s="208"/>
      <c r="BDZ12" s="208"/>
      <c r="BEA12" s="208"/>
      <c r="BEB12" s="208"/>
      <c r="BEC12" s="208"/>
      <c r="BED12" s="208"/>
      <c r="BEE12" s="208"/>
      <c r="BEF12" s="208"/>
      <c r="BEG12" s="208"/>
      <c r="BEH12" s="208"/>
      <c r="BEI12" s="208"/>
      <c r="BEJ12" s="208"/>
      <c r="BEK12" s="208"/>
      <c r="BEL12" s="208"/>
      <c r="BEM12" s="208"/>
      <c r="BEN12" s="208"/>
      <c r="BEO12" s="208"/>
      <c r="BEP12" s="208"/>
      <c r="BEQ12" s="208"/>
      <c r="BER12" s="208"/>
      <c r="BES12" s="208"/>
      <c r="BET12" s="208"/>
      <c r="BEU12" s="208"/>
      <c r="BEV12" s="208"/>
      <c r="BEW12" s="208"/>
      <c r="BEX12" s="208" t="s">
        <v>68</v>
      </c>
      <c r="BEY12" s="208"/>
      <c r="BEZ12" s="208"/>
      <c r="BFA12" s="208"/>
      <c r="BFB12" s="208"/>
      <c r="BFC12" s="208"/>
      <c r="BFD12" s="208"/>
      <c r="BFE12" s="208"/>
      <c r="BFF12" s="208"/>
      <c r="BFG12" s="208"/>
      <c r="BFH12" s="208"/>
      <c r="BFI12" s="208"/>
      <c r="BFJ12" s="208"/>
      <c r="BFK12" s="208"/>
      <c r="BFL12" s="208"/>
      <c r="BFM12" s="208"/>
      <c r="BFN12" s="208"/>
      <c r="BFO12" s="208"/>
      <c r="BFP12" s="208"/>
      <c r="BFQ12" s="208"/>
      <c r="BFR12" s="208"/>
      <c r="BFS12" s="208"/>
      <c r="BFT12" s="208"/>
      <c r="BFU12" s="208"/>
      <c r="BFV12" s="208"/>
      <c r="BFW12" s="208"/>
      <c r="BFX12" s="208"/>
      <c r="BFY12" s="208"/>
      <c r="BFZ12" s="208"/>
      <c r="BGA12" s="208"/>
      <c r="BGB12" s="208"/>
      <c r="BGC12" s="208"/>
      <c r="BGD12" s="208"/>
      <c r="BGE12" s="208"/>
      <c r="BGF12" s="208"/>
      <c r="BGG12" s="208"/>
      <c r="BGH12" s="208"/>
      <c r="BGI12" s="208"/>
      <c r="BGJ12" s="208"/>
      <c r="BGK12" s="208"/>
      <c r="BGL12" s="208"/>
      <c r="BGM12" s="208"/>
      <c r="BGN12" s="208"/>
      <c r="BGO12" s="208"/>
      <c r="BGP12" s="208"/>
      <c r="BGQ12" s="208"/>
      <c r="BGR12" s="208"/>
      <c r="BGS12" s="208"/>
      <c r="BGT12" s="208"/>
      <c r="BGU12" s="208"/>
      <c r="BGV12" s="208"/>
      <c r="BGW12" s="208"/>
      <c r="BGX12" s="208"/>
      <c r="BGY12" s="208"/>
      <c r="BGZ12" s="208"/>
      <c r="BHA12" s="208"/>
      <c r="BHB12" s="208"/>
      <c r="BHC12" s="208"/>
      <c r="BHD12" s="208"/>
      <c r="BHE12" s="208"/>
      <c r="BHF12" s="208" t="s">
        <v>66</v>
      </c>
      <c r="BHG12" s="208"/>
      <c r="BHH12" s="208"/>
      <c r="BHI12" s="208"/>
      <c r="BHJ12" s="208"/>
      <c r="BHK12" s="208"/>
      <c r="BHL12" s="208"/>
      <c r="BHM12" s="208"/>
      <c r="BHN12" s="208"/>
      <c r="BHO12" s="208"/>
      <c r="BHP12" s="208"/>
      <c r="BHQ12" s="208"/>
      <c r="BHR12" s="208"/>
      <c r="BHS12" s="208"/>
      <c r="BHT12" s="208"/>
      <c r="BHU12" s="208"/>
      <c r="BHV12" s="208"/>
      <c r="BHW12" s="208"/>
      <c r="BHX12" s="208"/>
      <c r="BHY12" s="208"/>
      <c r="BHZ12" s="208"/>
      <c r="BIA12" s="208"/>
      <c r="BIB12" s="208"/>
      <c r="BIC12" s="208"/>
      <c r="BID12" s="208"/>
      <c r="BIE12" s="208"/>
      <c r="BIF12" s="208"/>
      <c r="BIG12" s="208"/>
      <c r="BIH12" s="208"/>
      <c r="BII12" s="208"/>
      <c r="BIJ12" s="208"/>
      <c r="BIK12" s="208"/>
      <c r="BIL12" s="208"/>
      <c r="BIM12" s="208"/>
      <c r="BIN12" s="208"/>
      <c r="BIO12" s="208"/>
      <c r="BIP12" s="208"/>
      <c r="BIQ12" s="208"/>
      <c r="BIR12" s="208"/>
      <c r="BIS12" s="208"/>
      <c r="BIT12" s="208"/>
      <c r="BIU12" s="208"/>
      <c r="BIV12" s="208"/>
      <c r="BIW12" s="208"/>
      <c r="BIX12" s="208"/>
      <c r="BIY12" s="208"/>
      <c r="BIZ12" s="208"/>
      <c r="BJA12" s="208"/>
      <c r="BJB12" s="208"/>
      <c r="BJC12" s="208"/>
      <c r="BJD12" s="208"/>
      <c r="BJE12" s="208"/>
      <c r="BJF12" s="208"/>
      <c r="BJG12" s="208"/>
      <c r="BJH12" s="208"/>
      <c r="BJI12" s="208"/>
      <c r="BJJ12" s="208"/>
      <c r="BJK12" s="208"/>
      <c r="BJL12" s="208"/>
      <c r="BJM12" s="208"/>
      <c r="BJN12" s="208" t="s">
        <v>66</v>
      </c>
      <c r="BJO12" s="208"/>
      <c r="BJP12" s="208"/>
      <c r="BJQ12" s="208"/>
      <c r="BJR12" s="208"/>
      <c r="BJS12" s="208"/>
      <c r="BJT12" s="208"/>
      <c r="BJU12" s="208"/>
      <c r="BJV12" s="208"/>
      <c r="BJW12" s="208"/>
      <c r="BJX12" s="208"/>
      <c r="BJY12" s="208"/>
      <c r="BJZ12" s="208"/>
      <c r="BKA12" s="208"/>
      <c r="BKB12" s="208"/>
      <c r="BKC12" s="208"/>
      <c r="BKD12" s="208"/>
      <c r="BKE12" s="208"/>
      <c r="BKF12" s="208"/>
      <c r="BKG12" s="208"/>
      <c r="BKH12" s="208"/>
      <c r="BKI12" s="208"/>
      <c r="BKJ12" s="208"/>
      <c r="BKK12" s="208"/>
      <c r="BKL12" s="208"/>
      <c r="BKM12" s="208"/>
      <c r="BKN12" s="208"/>
      <c r="BKO12" s="208"/>
      <c r="BKP12" s="208"/>
      <c r="BKQ12" s="208"/>
      <c r="BKR12" s="208"/>
      <c r="BKS12" s="208"/>
      <c r="BKT12" s="208"/>
      <c r="BKU12" s="208"/>
      <c r="BKV12" s="208"/>
      <c r="BKW12" s="208"/>
      <c r="BKX12" s="208"/>
      <c r="BKY12" s="208"/>
      <c r="BKZ12" s="208"/>
      <c r="BLA12" s="208"/>
      <c r="BLB12" s="208"/>
      <c r="BLC12" s="208"/>
      <c r="BLD12" s="208"/>
      <c r="BLE12" s="208"/>
      <c r="BLF12" s="208"/>
      <c r="BLG12" s="208"/>
      <c r="BLH12" s="208"/>
      <c r="BLI12" s="208"/>
      <c r="BLJ12" s="208"/>
      <c r="BLK12" s="208"/>
      <c r="BLL12" s="208"/>
      <c r="BLM12" s="208"/>
      <c r="BLN12" s="208"/>
      <c r="BLO12" s="208"/>
      <c r="BLP12" s="208"/>
      <c r="BLQ12" s="208"/>
      <c r="BLR12" s="208"/>
      <c r="BLS12" s="208"/>
      <c r="BLT12" s="208"/>
      <c r="BLU12" s="208"/>
      <c r="BLV12" s="73"/>
    </row>
    <row r="13" spans="1:1686" ht="42.75" customHeight="1" thickBot="1" x14ac:dyDescent="0.3">
      <c r="B13" s="51"/>
      <c r="C13" s="236" t="s">
        <v>13</v>
      </c>
      <c r="D13" s="116"/>
      <c r="E13" s="234" t="s">
        <v>14</v>
      </c>
      <c r="F13" s="209" t="s">
        <v>15</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16</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17</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140</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139</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137</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136</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134</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132</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131</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129</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128</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126</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125</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123</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122</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120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118</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117</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115</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114</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112</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111</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109</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108</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106</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209" t="s">
        <v>104</v>
      </c>
      <c r="BHG13" s="210"/>
      <c r="BHH13" s="210"/>
      <c r="BHI13" s="210"/>
      <c r="BHJ13" s="210"/>
      <c r="BHK13" s="210"/>
      <c r="BHL13" s="210"/>
      <c r="BHM13" s="210"/>
      <c r="BHN13" s="210"/>
      <c r="BHO13" s="210"/>
      <c r="BHP13" s="210"/>
      <c r="BHQ13" s="210"/>
      <c r="BHR13" s="210"/>
      <c r="BHS13" s="210"/>
      <c r="BHT13" s="210"/>
      <c r="BHU13" s="210"/>
      <c r="BHV13" s="210"/>
      <c r="BHW13" s="210"/>
      <c r="BHX13" s="210"/>
      <c r="BHY13" s="210"/>
      <c r="BHZ13" s="210"/>
      <c r="BIA13" s="210"/>
      <c r="BIB13" s="210"/>
      <c r="BIC13" s="210"/>
      <c r="BID13" s="210"/>
      <c r="BIE13" s="210"/>
      <c r="BIF13" s="210"/>
      <c r="BIG13" s="210"/>
      <c r="BIH13" s="210"/>
      <c r="BII13" s="210"/>
      <c r="BIJ13" s="210"/>
      <c r="BIK13" s="210"/>
      <c r="BIL13" s="210"/>
      <c r="BIM13" s="210"/>
      <c r="BIN13" s="210"/>
      <c r="BIO13" s="210"/>
      <c r="BIP13" s="210"/>
      <c r="BIQ13" s="210"/>
      <c r="BIR13" s="210"/>
      <c r="BIS13" s="210"/>
      <c r="BIT13" s="210"/>
      <c r="BIU13" s="210"/>
      <c r="BIV13" s="210"/>
      <c r="BIW13" s="210"/>
      <c r="BIX13" s="210"/>
      <c r="BIY13" s="210"/>
      <c r="BIZ13" s="210"/>
      <c r="BJA13" s="210"/>
      <c r="BJB13" s="210"/>
      <c r="BJC13" s="210"/>
      <c r="BJD13" s="210"/>
      <c r="BJE13" s="210"/>
      <c r="BJF13" s="210"/>
      <c r="BJG13" s="210"/>
      <c r="BJH13" s="210"/>
      <c r="BJI13" s="210"/>
      <c r="BJJ13" s="210"/>
      <c r="BJK13" s="210"/>
      <c r="BJL13" s="210"/>
      <c r="BJM13" s="211"/>
      <c r="BJN13" s="209" t="s">
        <v>102</v>
      </c>
      <c r="BJO13" s="210"/>
      <c r="BJP13" s="210"/>
      <c r="BJQ13" s="210"/>
      <c r="BJR13" s="210"/>
      <c r="BJS13" s="210"/>
      <c r="BJT13" s="210"/>
      <c r="BJU13" s="210"/>
      <c r="BJV13" s="210"/>
      <c r="BJW13" s="210"/>
      <c r="BJX13" s="210"/>
      <c r="BJY13" s="210"/>
      <c r="BJZ13" s="210"/>
      <c r="BKA13" s="210"/>
      <c r="BKB13" s="210"/>
      <c r="BKC13" s="210"/>
      <c r="BKD13" s="210"/>
      <c r="BKE13" s="210"/>
      <c r="BKF13" s="210"/>
      <c r="BKG13" s="210"/>
      <c r="BKH13" s="210"/>
      <c r="BKI13" s="210"/>
      <c r="BKJ13" s="210"/>
      <c r="BKK13" s="210"/>
      <c r="BKL13" s="210"/>
      <c r="BKM13" s="210"/>
      <c r="BKN13" s="210"/>
      <c r="BKO13" s="210"/>
      <c r="BKP13" s="210"/>
      <c r="BKQ13" s="210"/>
      <c r="BKR13" s="210"/>
      <c r="BKS13" s="210"/>
      <c r="BKT13" s="210"/>
      <c r="BKU13" s="210"/>
      <c r="BKV13" s="210"/>
      <c r="BKW13" s="210"/>
      <c r="BKX13" s="210"/>
      <c r="BKY13" s="210"/>
      <c r="BKZ13" s="210"/>
      <c r="BLA13" s="210"/>
      <c r="BLB13" s="210"/>
      <c r="BLC13" s="210"/>
      <c r="BLD13" s="210"/>
      <c r="BLE13" s="210"/>
      <c r="BLF13" s="210"/>
      <c r="BLG13" s="210"/>
      <c r="BLH13" s="210"/>
      <c r="BLI13" s="210"/>
      <c r="BLJ13" s="210"/>
      <c r="BLK13" s="210"/>
      <c r="BLL13" s="210"/>
      <c r="BLM13" s="210"/>
      <c r="BLN13" s="210"/>
      <c r="BLO13" s="210"/>
      <c r="BLP13" s="210"/>
      <c r="BLQ13" s="210"/>
      <c r="BLR13" s="210"/>
      <c r="BLS13" s="210"/>
      <c r="BLT13" s="210"/>
      <c r="BLU13" s="211"/>
      <c r="BLV13" s="73"/>
    </row>
    <row r="14" spans="1:1686" ht="12.75" customHeight="1" thickBot="1" x14ac:dyDescent="0.35">
      <c r="B14" s="51"/>
      <c r="C14" s="237"/>
      <c r="D14" s="117"/>
      <c r="E14" s="235"/>
      <c r="F14" s="80"/>
      <c r="G14" s="81"/>
      <c r="H14" s="81"/>
      <c r="I14" s="81"/>
      <c r="J14" s="212" t="s">
        <v>18</v>
      </c>
      <c r="K14" s="212"/>
      <c r="L14" s="212"/>
      <c r="M14" s="212"/>
      <c r="N14" s="81"/>
      <c r="O14" s="81"/>
      <c r="P14" s="213" t="s">
        <v>19</v>
      </c>
      <c r="Q14" s="213"/>
      <c r="R14" s="213"/>
      <c r="S14" s="213"/>
      <c r="T14" s="101"/>
      <c r="U14" s="101"/>
      <c r="V14" s="212" t="s">
        <v>20</v>
      </c>
      <c r="W14" s="212"/>
      <c r="X14" s="212"/>
      <c r="Y14" s="212"/>
      <c r="Z14" s="81"/>
      <c r="AA14" s="81"/>
      <c r="AB14" s="213" t="s">
        <v>21</v>
      </c>
      <c r="AC14" s="213"/>
      <c r="AD14" s="213"/>
      <c r="AE14" s="213"/>
      <c r="AF14" s="101"/>
      <c r="AG14" s="101"/>
      <c r="AH14" s="212" t="s">
        <v>22</v>
      </c>
      <c r="AI14" s="212"/>
      <c r="AJ14" s="212"/>
      <c r="AK14" s="212"/>
      <c r="AL14" s="81"/>
      <c r="AM14" s="81"/>
      <c r="AN14" s="213" t="s">
        <v>23</v>
      </c>
      <c r="AO14" s="213"/>
      <c r="AP14" s="213"/>
      <c r="AQ14" s="213"/>
      <c r="AR14" s="101"/>
      <c r="AS14" s="101"/>
      <c r="AT14" s="212" t="s">
        <v>24</v>
      </c>
      <c r="AU14" s="212"/>
      <c r="AV14" s="212"/>
      <c r="AW14" s="212"/>
      <c r="AX14" s="81"/>
      <c r="AY14" s="81"/>
      <c r="AZ14" s="213" t="s">
        <v>25</v>
      </c>
      <c r="BA14" s="213"/>
      <c r="BB14" s="213"/>
      <c r="BC14" s="213"/>
      <c r="BD14" s="101"/>
      <c r="BE14" s="101"/>
      <c r="BF14" s="212" t="s">
        <v>26</v>
      </c>
      <c r="BG14" s="212"/>
      <c r="BH14" s="212"/>
      <c r="BI14" s="212"/>
      <c r="BJ14" s="81"/>
      <c r="BK14" s="81"/>
      <c r="BL14" s="81"/>
      <c r="BM14" s="82"/>
      <c r="BN14" s="80"/>
      <c r="BO14" s="81"/>
      <c r="BP14" s="81"/>
      <c r="BQ14" s="81"/>
      <c r="BR14" s="212" t="s">
        <v>18</v>
      </c>
      <c r="BS14" s="212"/>
      <c r="BT14" s="212"/>
      <c r="BU14" s="212"/>
      <c r="BV14" s="81"/>
      <c r="BW14" s="81"/>
      <c r="BX14" s="213" t="s">
        <v>19</v>
      </c>
      <c r="BY14" s="213"/>
      <c r="BZ14" s="213"/>
      <c r="CA14" s="213"/>
      <c r="CB14" s="101"/>
      <c r="CC14" s="101"/>
      <c r="CD14" s="212" t="s">
        <v>20</v>
      </c>
      <c r="CE14" s="212"/>
      <c r="CF14" s="212"/>
      <c r="CG14" s="212"/>
      <c r="CH14" s="81"/>
      <c r="CI14" s="81"/>
      <c r="CJ14" s="213" t="s">
        <v>21</v>
      </c>
      <c r="CK14" s="213"/>
      <c r="CL14" s="213"/>
      <c r="CM14" s="213"/>
      <c r="CN14" s="101"/>
      <c r="CO14" s="101"/>
      <c r="CP14" s="212" t="s">
        <v>22</v>
      </c>
      <c r="CQ14" s="212"/>
      <c r="CR14" s="212"/>
      <c r="CS14" s="212"/>
      <c r="CT14" s="81"/>
      <c r="CU14" s="81"/>
      <c r="CV14" s="213" t="s">
        <v>23</v>
      </c>
      <c r="CW14" s="213"/>
      <c r="CX14" s="213"/>
      <c r="CY14" s="213"/>
      <c r="CZ14" s="101"/>
      <c r="DA14" s="101"/>
      <c r="DB14" s="212" t="s">
        <v>24</v>
      </c>
      <c r="DC14" s="212"/>
      <c r="DD14" s="212"/>
      <c r="DE14" s="212"/>
      <c r="DF14" s="81"/>
      <c r="DG14" s="81"/>
      <c r="DH14" s="213" t="s">
        <v>25</v>
      </c>
      <c r="DI14" s="213"/>
      <c r="DJ14" s="213"/>
      <c r="DK14" s="213"/>
      <c r="DL14" s="101"/>
      <c r="DM14" s="101"/>
      <c r="DN14" s="212" t="s">
        <v>26</v>
      </c>
      <c r="DO14" s="212"/>
      <c r="DP14" s="212"/>
      <c r="DQ14" s="212"/>
      <c r="DR14" s="81"/>
      <c r="DS14" s="81"/>
      <c r="DT14" s="81"/>
      <c r="DU14" s="82"/>
      <c r="DV14" s="80"/>
      <c r="DW14" s="81"/>
      <c r="DX14" s="81"/>
      <c r="DY14" s="81"/>
      <c r="DZ14" s="212" t="s">
        <v>18</v>
      </c>
      <c r="EA14" s="212"/>
      <c r="EB14" s="212"/>
      <c r="EC14" s="212"/>
      <c r="ED14" s="81"/>
      <c r="EE14" s="81"/>
      <c r="EF14" s="213" t="s">
        <v>19</v>
      </c>
      <c r="EG14" s="213"/>
      <c r="EH14" s="213"/>
      <c r="EI14" s="213"/>
      <c r="EJ14" s="101"/>
      <c r="EK14" s="101"/>
      <c r="EL14" s="212" t="s">
        <v>20</v>
      </c>
      <c r="EM14" s="212"/>
      <c r="EN14" s="212"/>
      <c r="EO14" s="212"/>
      <c r="EP14" s="81"/>
      <c r="EQ14" s="81"/>
      <c r="ER14" s="213" t="s">
        <v>21</v>
      </c>
      <c r="ES14" s="213"/>
      <c r="ET14" s="213"/>
      <c r="EU14" s="213"/>
      <c r="EV14" s="101"/>
      <c r="EW14" s="101"/>
      <c r="EX14" s="212" t="s">
        <v>22</v>
      </c>
      <c r="EY14" s="212"/>
      <c r="EZ14" s="212"/>
      <c r="FA14" s="212"/>
      <c r="FB14" s="81"/>
      <c r="FC14" s="81"/>
      <c r="FD14" s="213" t="s">
        <v>23</v>
      </c>
      <c r="FE14" s="213"/>
      <c r="FF14" s="213"/>
      <c r="FG14" s="213"/>
      <c r="FH14" s="101"/>
      <c r="FI14" s="101"/>
      <c r="FJ14" s="212" t="s">
        <v>24</v>
      </c>
      <c r="FK14" s="212"/>
      <c r="FL14" s="212"/>
      <c r="FM14" s="212"/>
      <c r="FN14" s="81"/>
      <c r="FO14" s="81"/>
      <c r="FP14" s="213" t="s">
        <v>25</v>
      </c>
      <c r="FQ14" s="213"/>
      <c r="FR14" s="213"/>
      <c r="FS14" s="213"/>
      <c r="FT14" s="101"/>
      <c r="FU14" s="101"/>
      <c r="FV14" s="212" t="s">
        <v>26</v>
      </c>
      <c r="FW14" s="212"/>
      <c r="FX14" s="212"/>
      <c r="FY14" s="212"/>
      <c r="FZ14" s="81"/>
      <c r="GA14" s="81"/>
      <c r="GB14" s="81"/>
      <c r="GC14" s="82"/>
      <c r="GD14" s="80"/>
      <c r="GE14" s="81"/>
      <c r="GF14" s="81"/>
      <c r="GG14" s="81"/>
      <c r="GH14" s="212" t="s">
        <v>18</v>
      </c>
      <c r="GI14" s="212"/>
      <c r="GJ14" s="212"/>
      <c r="GK14" s="212"/>
      <c r="GL14" s="81"/>
      <c r="GM14" s="81"/>
      <c r="GN14" s="213" t="s">
        <v>19</v>
      </c>
      <c r="GO14" s="213"/>
      <c r="GP14" s="213"/>
      <c r="GQ14" s="213"/>
      <c r="GR14" s="101"/>
      <c r="GS14" s="101"/>
      <c r="GT14" s="212" t="s">
        <v>20</v>
      </c>
      <c r="GU14" s="212"/>
      <c r="GV14" s="212"/>
      <c r="GW14" s="212"/>
      <c r="GX14" s="81"/>
      <c r="GY14" s="81"/>
      <c r="GZ14" s="213" t="s">
        <v>21</v>
      </c>
      <c r="HA14" s="213"/>
      <c r="HB14" s="213"/>
      <c r="HC14" s="213"/>
      <c r="HD14" s="101"/>
      <c r="HE14" s="101"/>
      <c r="HF14" s="212" t="s">
        <v>22</v>
      </c>
      <c r="HG14" s="212"/>
      <c r="HH14" s="212"/>
      <c r="HI14" s="212"/>
      <c r="HJ14" s="81"/>
      <c r="HK14" s="81"/>
      <c r="HL14" s="213" t="s">
        <v>23</v>
      </c>
      <c r="HM14" s="213"/>
      <c r="HN14" s="213"/>
      <c r="HO14" s="213"/>
      <c r="HP14" s="101"/>
      <c r="HQ14" s="101"/>
      <c r="HR14" s="212" t="s">
        <v>24</v>
      </c>
      <c r="HS14" s="212"/>
      <c r="HT14" s="212"/>
      <c r="HU14" s="212"/>
      <c r="HV14" s="81"/>
      <c r="HW14" s="81"/>
      <c r="HX14" s="213" t="s">
        <v>25</v>
      </c>
      <c r="HY14" s="213"/>
      <c r="HZ14" s="213"/>
      <c r="IA14" s="213"/>
      <c r="IB14" s="101"/>
      <c r="IC14" s="101"/>
      <c r="ID14" s="212" t="s">
        <v>26</v>
      </c>
      <c r="IE14" s="212"/>
      <c r="IF14" s="212"/>
      <c r="IG14" s="212"/>
      <c r="IH14" s="81"/>
      <c r="II14" s="81"/>
      <c r="IJ14" s="81"/>
      <c r="IK14" s="82"/>
      <c r="IL14" s="80"/>
      <c r="IM14" s="81"/>
      <c r="IN14" s="81"/>
      <c r="IO14" s="81"/>
      <c r="IP14" s="212" t="s">
        <v>18</v>
      </c>
      <c r="IQ14" s="212"/>
      <c r="IR14" s="212"/>
      <c r="IS14" s="212"/>
      <c r="IT14" s="81"/>
      <c r="IU14" s="81"/>
      <c r="IV14" s="213" t="s">
        <v>19</v>
      </c>
      <c r="IW14" s="213"/>
      <c r="IX14" s="213"/>
      <c r="IY14" s="213"/>
      <c r="IZ14" s="101"/>
      <c r="JA14" s="101"/>
      <c r="JB14" s="212" t="s">
        <v>20</v>
      </c>
      <c r="JC14" s="212"/>
      <c r="JD14" s="212"/>
      <c r="JE14" s="212"/>
      <c r="JF14" s="81"/>
      <c r="JG14" s="81"/>
      <c r="JH14" s="213" t="s">
        <v>21</v>
      </c>
      <c r="JI14" s="213"/>
      <c r="JJ14" s="213"/>
      <c r="JK14" s="213"/>
      <c r="JL14" s="101"/>
      <c r="JM14" s="101"/>
      <c r="JN14" s="212" t="s">
        <v>22</v>
      </c>
      <c r="JO14" s="212"/>
      <c r="JP14" s="212"/>
      <c r="JQ14" s="212"/>
      <c r="JR14" s="81"/>
      <c r="JS14" s="81"/>
      <c r="JT14" s="213" t="s">
        <v>23</v>
      </c>
      <c r="JU14" s="213"/>
      <c r="JV14" s="213"/>
      <c r="JW14" s="213"/>
      <c r="JX14" s="101"/>
      <c r="JY14" s="101"/>
      <c r="JZ14" s="212" t="s">
        <v>24</v>
      </c>
      <c r="KA14" s="212"/>
      <c r="KB14" s="212"/>
      <c r="KC14" s="212"/>
      <c r="KD14" s="81"/>
      <c r="KE14" s="81"/>
      <c r="KF14" s="213" t="s">
        <v>25</v>
      </c>
      <c r="KG14" s="213"/>
      <c r="KH14" s="213"/>
      <c r="KI14" s="213"/>
      <c r="KJ14" s="101"/>
      <c r="KK14" s="101"/>
      <c r="KL14" s="212" t="s">
        <v>26</v>
      </c>
      <c r="KM14" s="212"/>
      <c r="KN14" s="212"/>
      <c r="KO14" s="212"/>
      <c r="KP14" s="81"/>
      <c r="KQ14" s="81"/>
      <c r="KR14" s="81"/>
      <c r="KS14" s="82"/>
      <c r="KT14" s="80"/>
      <c r="KU14" s="81"/>
      <c r="KV14" s="81"/>
      <c r="KW14" s="81"/>
      <c r="KX14" s="212" t="s">
        <v>18</v>
      </c>
      <c r="KY14" s="212"/>
      <c r="KZ14" s="212"/>
      <c r="LA14" s="212"/>
      <c r="LB14" s="81"/>
      <c r="LC14" s="81"/>
      <c r="LD14" s="213" t="s">
        <v>19</v>
      </c>
      <c r="LE14" s="213"/>
      <c r="LF14" s="213"/>
      <c r="LG14" s="213"/>
      <c r="LH14" s="101"/>
      <c r="LI14" s="101"/>
      <c r="LJ14" s="212" t="s">
        <v>20</v>
      </c>
      <c r="LK14" s="212"/>
      <c r="LL14" s="212"/>
      <c r="LM14" s="212"/>
      <c r="LN14" s="81"/>
      <c r="LO14" s="81"/>
      <c r="LP14" s="213" t="s">
        <v>21</v>
      </c>
      <c r="LQ14" s="213"/>
      <c r="LR14" s="213"/>
      <c r="LS14" s="213"/>
      <c r="LT14" s="101"/>
      <c r="LU14" s="101"/>
      <c r="LV14" s="212" t="s">
        <v>22</v>
      </c>
      <c r="LW14" s="212"/>
      <c r="LX14" s="212"/>
      <c r="LY14" s="212"/>
      <c r="LZ14" s="81"/>
      <c r="MA14" s="81"/>
      <c r="MB14" s="213" t="s">
        <v>23</v>
      </c>
      <c r="MC14" s="213"/>
      <c r="MD14" s="213"/>
      <c r="ME14" s="213"/>
      <c r="MF14" s="101"/>
      <c r="MG14" s="101"/>
      <c r="MH14" s="212" t="s">
        <v>24</v>
      </c>
      <c r="MI14" s="212"/>
      <c r="MJ14" s="212"/>
      <c r="MK14" s="212"/>
      <c r="ML14" s="81"/>
      <c r="MM14" s="81"/>
      <c r="MN14" s="213" t="s">
        <v>25</v>
      </c>
      <c r="MO14" s="213"/>
      <c r="MP14" s="213"/>
      <c r="MQ14" s="213"/>
      <c r="MR14" s="101"/>
      <c r="MS14" s="101"/>
      <c r="MT14" s="212" t="s">
        <v>26</v>
      </c>
      <c r="MU14" s="212"/>
      <c r="MV14" s="212"/>
      <c r="MW14" s="212"/>
      <c r="MX14" s="81"/>
      <c r="MY14" s="81"/>
      <c r="MZ14" s="81"/>
      <c r="NA14" s="82"/>
      <c r="NB14" s="80"/>
      <c r="NC14" s="81"/>
      <c r="ND14" s="81"/>
      <c r="NE14" s="81"/>
      <c r="NF14" s="212" t="s">
        <v>18</v>
      </c>
      <c r="NG14" s="212"/>
      <c r="NH14" s="212"/>
      <c r="NI14" s="212"/>
      <c r="NJ14" s="81"/>
      <c r="NK14" s="81"/>
      <c r="NL14" s="213" t="s">
        <v>19</v>
      </c>
      <c r="NM14" s="213"/>
      <c r="NN14" s="213"/>
      <c r="NO14" s="213"/>
      <c r="NP14" s="101"/>
      <c r="NQ14" s="101"/>
      <c r="NR14" s="212" t="s">
        <v>20</v>
      </c>
      <c r="NS14" s="212"/>
      <c r="NT14" s="212"/>
      <c r="NU14" s="212"/>
      <c r="NV14" s="81"/>
      <c r="NW14" s="81"/>
      <c r="NX14" s="213" t="s">
        <v>21</v>
      </c>
      <c r="NY14" s="213"/>
      <c r="NZ14" s="213"/>
      <c r="OA14" s="213"/>
      <c r="OB14" s="101"/>
      <c r="OC14" s="101"/>
      <c r="OD14" s="212" t="s">
        <v>22</v>
      </c>
      <c r="OE14" s="212"/>
      <c r="OF14" s="212"/>
      <c r="OG14" s="212"/>
      <c r="OH14" s="81"/>
      <c r="OI14" s="81"/>
      <c r="OJ14" s="213" t="s">
        <v>23</v>
      </c>
      <c r="OK14" s="213"/>
      <c r="OL14" s="213"/>
      <c r="OM14" s="213"/>
      <c r="ON14" s="101"/>
      <c r="OO14" s="101"/>
      <c r="OP14" s="212" t="s">
        <v>24</v>
      </c>
      <c r="OQ14" s="212"/>
      <c r="OR14" s="212"/>
      <c r="OS14" s="212"/>
      <c r="OT14" s="81"/>
      <c r="OU14" s="81"/>
      <c r="OV14" s="213" t="s">
        <v>25</v>
      </c>
      <c r="OW14" s="213"/>
      <c r="OX14" s="213"/>
      <c r="OY14" s="213"/>
      <c r="OZ14" s="101"/>
      <c r="PA14" s="101"/>
      <c r="PB14" s="212" t="s">
        <v>26</v>
      </c>
      <c r="PC14" s="212"/>
      <c r="PD14" s="212"/>
      <c r="PE14" s="212"/>
      <c r="PF14" s="81"/>
      <c r="PG14" s="81"/>
      <c r="PH14" s="81"/>
      <c r="PI14" s="82"/>
      <c r="PJ14" s="80"/>
      <c r="PK14" s="81"/>
      <c r="PL14" s="81"/>
      <c r="PM14" s="81"/>
      <c r="PN14" s="212" t="s">
        <v>18</v>
      </c>
      <c r="PO14" s="212"/>
      <c r="PP14" s="212"/>
      <c r="PQ14" s="212"/>
      <c r="PR14" s="81"/>
      <c r="PS14" s="81"/>
      <c r="PT14" s="213" t="s">
        <v>19</v>
      </c>
      <c r="PU14" s="213"/>
      <c r="PV14" s="213"/>
      <c r="PW14" s="213"/>
      <c r="PX14" s="101"/>
      <c r="PY14" s="101"/>
      <c r="PZ14" s="212" t="s">
        <v>20</v>
      </c>
      <c r="QA14" s="212"/>
      <c r="QB14" s="212"/>
      <c r="QC14" s="212"/>
      <c r="QD14" s="81"/>
      <c r="QE14" s="81"/>
      <c r="QF14" s="213" t="s">
        <v>21</v>
      </c>
      <c r="QG14" s="213"/>
      <c r="QH14" s="213"/>
      <c r="QI14" s="213"/>
      <c r="QJ14" s="101"/>
      <c r="QK14" s="101"/>
      <c r="QL14" s="212" t="s">
        <v>22</v>
      </c>
      <c r="QM14" s="212"/>
      <c r="QN14" s="212"/>
      <c r="QO14" s="212"/>
      <c r="QP14" s="81"/>
      <c r="QQ14" s="81"/>
      <c r="QR14" s="213" t="s">
        <v>23</v>
      </c>
      <c r="QS14" s="213"/>
      <c r="QT14" s="213"/>
      <c r="QU14" s="213"/>
      <c r="QV14" s="101"/>
      <c r="QW14" s="101"/>
      <c r="QX14" s="212" t="s">
        <v>24</v>
      </c>
      <c r="QY14" s="212"/>
      <c r="QZ14" s="212"/>
      <c r="RA14" s="212"/>
      <c r="RB14" s="81"/>
      <c r="RC14" s="81"/>
      <c r="RD14" s="213" t="s">
        <v>25</v>
      </c>
      <c r="RE14" s="213"/>
      <c r="RF14" s="213"/>
      <c r="RG14" s="213"/>
      <c r="RH14" s="101"/>
      <c r="RI14" s="101"/>
      <c r="RJ14" s="212" t="s">
        <v>26</v>
      </c>
      <c r="RK14" s="212"/>
      <c r="RL14" s="212"/>
      <c r="RM14" s="212"/>
      <c r="RN14" s="81"/>
      <c r="RO14" s="81"/>
      <c r="RP14" s="81"/>
      <c r="RQ14" s="82"/>
      <c r="RR14" s="80"/>
      <c r="RS14" s="81"/>
      <c r="RT14" s="81"/>
      <c r="RU14" s="81"/>
      <c r="RV14" s="212" t="s">
        <v>18</v>
      </c>
      <c r="RW14" s="212"/>
      <c r="RX14" s="212"/>
      <c r="RY14" s="212"/>
      <c r="RZ14" s="81"/>
      <c r="SA14" s="81"/>
      <c r="SB14" s="213" t="s">
        <v>19</v>
      </c>
      <c r="SC14" s="213"/>
      <c r="SD14" s="213"/>
      <c r="SE14" s="213"/>
      <c r="SF14" s="101"/>
      <c r="SG14" s="101"/>
      <c r="SH14" s="212" t="s">
        <v>20</v>
      </c>
      <c r="SI14" s="212"/>
      <c r="SJ14" s="212"/>
      <c r="SK14" s="212"/>
      <c r="SL14" s="81"/>
      <c r="SM14" s="81"/>
      <c r="SN14" s="213" t="s">
        <v>21</v>
      </c>
      <c r="SO14" s="213"/>
      <c r="SP14" s="213"/>
      <c r="SQ14" s="213"/>
      <c r="SR14" s="101"/>
      <c r="SS14" s="101"/>
      <c r="ST14" s="212" t="s">
        <v>22</v>
      </c>
      <c r="SU14" s="212"/>
      <c r="SV14" s="212"/>
      <c r="SW14" s="212"/>
      <c r="SX14" s="81"/>
      <c r="SY14" s="81"/>
      <c r="SZ14" s="213" t="s">
        <v>23</v>
      </c>
      <c r="TA14" s="213"/>
      <c r="TB14" s="213"/>
      <c r="TC14" s="213"/>
      <c r="TD14" s="101"/>
      <c r="TE14" s="101"/>
      <c r="TF14" s="212" t="s">
        <v>24</v>
      </c>
      <c r="TG14" s="212"/>
      <c r="TH14" s="212"/>
      <c r="TI14" s="212"/>
      <c r="TJ14" s="81"/>
      <c r="TK14" s="81"/>
      <c r="TL14" s="213" t="s">
        <v>25</v>
      </c>
      <c r="TM14" s="213"/>
      <c r="TN14" s="213"/>
      <c r="TO14" s="213"/>
      <c r="TP14" s="101"/>
      <c r="TQ14" s="101"/>
      <c r="TR14" s="212" t="s">
        <v>26</v>
      </c>
      <c r="TS14" s="212"/>
      <c r="TT14" s="212"/>
      <c r="TU14" s="212"/>
      <c r="TV14" s="81"/>
      <c r="TW14" s="81"/>
      <c r="TX14" s="81"/>
      <c r="TY14" s="82"/>
      <c r="TZ14" s="80"/>
      <c r="UA14" s="81"/>
      <c r="UB14" s="81"/>
      <c r="UC14" s="81"/>
      <c r="UD14" s="212" t="s">
        <v>18</v>
      </c>
      <c r="UE14" s="212"/>
      <c r="UF14" s="212"/>
      <c r="UG14" s="212"/>
      <c r="UH14" s="81"/>
      <c r="UI14" s="81"/>
      <c r="UJ14" s="213" t="s">
        <v>19</v>
      </c>
      <c r="UK14" s="213"/>
      <c r="UL14" s="213"/>
      <c r="UM14" s="213"/>
      <c r="UN14" s="101"/>
      <c r="UO14" s="101"/>
      <c r="UP14" s="212" t="s">
        <v>20</v>
      </c>
      <c r="UQ14" s="212"/>
      <c r="UR14" s="212"/>
      <c r="US14" s="212"/>
      <c r="UT14" s="81"/>
      <c r="UU14" s="81"/>
      <c r="UV14" s="213" t="s">
        <v>21</v>
      </c>
      <c r="UW14" s="213"/>
      <c r="UX14" s="213"/>
      <c r="UY14" s="213"/>
      <c r="UZ14" s="101"/>
      <c r="VA14" s="101"/>
      <c r="VB14" s="212" t="s">
        <v>22</v>
      </c>
      <c r="VC14" s="212"/>
      <c r="VD14" s="212"/>
      <c r="VE14" s="212"/>
      <c r="VF14" s="81"/>
      <c r="VG14" s="81"/>
      <c r="VH14" s="213" t="s">
        <v>23</v>
      </c>
      <c r="VI14" s="213"/>
      <c r="VJ14" s="213"/>
      <c r="VK14" s="213"/>
      <c r="VL14" s="101"/>
      <c r="VM14" s="101"/>
      <c r="VN14" s="212" t="s">
        <v>24</v>
      </c>
      <c r="VO14" s="212"/>
      <c r="VP14" s="212"/>
      <c r="VQ14" s="212"/>
      <c r="VR14" s="81"/>
      <c r="VS14" s="81"/>
      <c r="VT14" s="213" t="s">
        <v>25</v>
      </c>
      <c r="VU14" s="213"/>
      <c r="VV14" s="213"/>
      <c r="VW14" s="213"/>
      <c r="VX14" s="101"/>
      <c r="VY14" s="101"/>
      <c r="VZ14" s="212" t="s">
        <v>26</v>
      </c>
      <c r="WA14" s="212"/>
      <c r="WB14" s="212"/>
      <c r="WC14" s="212"/>
      <c r="WD14" s="81"/>
      <c r="WE14" s="81"/>
      <c r="WF14" s="81"/>
      <c r="WG14" s="82"/>
      <c r="WH14" s="80"/>
      <c r="WI14" s="81"/>
      <c r="WJ14" s="81"/>
      <c r="WK14" s="81"/>
      <c r="WL14" s="212" t="s">
        <v>18</v>
      </c>
      <c r="WM14" s="212"/>
      <c r="WN14" s="212"/>
      <c r="WO14" s="212"/>
      <c r="WP14" s="81"/>
      <c r="WQ14" s="81"/>
      <c r="WR14" s="213" t="s">
        <v>19</v>
      </c>
      <c r="WS14" s="213"/>
      <c r="WT14" s="213"/>
      <c r="WU14" s="213"/>
      <c r="WV14" s="101"/>
      <c r="WW14" s="101"/>
      <c r="WX14" s="212" t="s">
        <v>20</v>
      </c>
      <c r="WY14" s="212"/>
      <c r="WZ14" s="212"/>
      <c r="XA14" s="212"/>
      <c r="XB14" s="81"/>
      <c r="XC14" s="81"/>
      <c r="XD14" s="213" t="s">
        <v>21</v>
      </c>
      <c r="XE14" s="213"/>
      <c r="XF14" s="213"/>
      <c r="XG14" s="213"/>
      <c r="XH14" s="101"/>
      <c r="XI14" s="101"/>
      <c r="XJ14" s="212" t="s">
        <v>22</v>
      </c>
      <c r="XK14" s="212"/>
      <c r="XL14" s="212"/>
      <c r="XM14" s="212"/>
      <c r="XN14" s="81"/>
      <c r="XO14" s="81"/>
      <c r="XP14" s="213" t="s">
        <v>23</v>
      </c>
      <c r="XQ14" s="213"/>
      <c r="XR14" s="213"/>
      <c r="XS14" s="213"/>
      <c r="XT14" s="101"/>
      <c r="XU14" s="101"/>
      <c r="XV14" s="212" t="s">
        <v>24</v>
      </c>
      <c r="XW14" s="212"/>
      <c r="XX14" s="212"/>
      <c r="XY14" s="212"/>
      <c r="XZ14" s="81"/>
      <c r="YA14" s="81"/>
      <c r="YB14" s="213" t="s">
        <v>25</v>
      </c>
      <c r="YC14" s="213"/>
      <c r="YD14" s="213"/>
      <c r="YE14" s="213"/>
      <c r="YF14" s="101"/>
      <c r="YG14" s="101"/>
      <c r="YH14" s="212" t="s">
        <v>26</v>
      </c>
      <c r="YI14" s="212"/>
      <c r="YJ14" s="212"/>
      <c r="YK14" s="212"/>
      <c r="YL14" s="81"/>
      <c r="YM14" s="81"/>
      <c r="YN14" s="81"/>
      <c r="YO14" s="82"/>
      <c r="YP14" s="80"/>
      <c r="YQ14" s="81"/>
      <c r="YR14" s="81"/>
      <c r="YS14" s="81"/>
      <c r="YT14" s="212" t="s">
        <v>18</v>
      </c>
      <c r="YU14" s="212"/>
      <c r="YV14" s="212"/>
      <c r="YW14" s="212"/>
      <c r="YX14" s="81"/>
      <c r="YY14" s="81"/>
      <c r="YZ14" s="213" t="s">
        <v>19</v>
      </c>
      <c r="ZA14" s="213"/>
      <c r="ZB14" s="213"/>
      <c r="ZC14" s="213"/>
      <c r="ZD14" s="101"/>
      <c r="ZE14" s="101"/>
      <c r="ZF14" s="212" t="s">
        <v>20</v>
      </c>
      <c r="ZG14" s="212"/>
      <c r="ZH14" s="212"/>
      <c r="ZI14" s="212"/>
      <c r="ZJ14" s="81"/>
      <c r="ZK14" s="81"/>
      <c r="ZL14" s="213" t="s">
        <v>21</v>
      </c>
      <c r="ZM14" s="213"/>
      <c r="ZN14" s="213"/>
      <c r="ZO14" s="213"/>
      <c r="ZP14" s="101"/>
      <c r="ZQ14" s="101"/>
      <c r="ZR14" s="212" t="s">
        <v>22</v>
      </c>
      <c r="ZS14" s="212"/>
      <c r="ZT14" s="212"/>
      <c r="ZU14" s="212"/>
      <c r="ZV14" s="81"/>
      <c r="ZW14" s="81"/>
      <c r="ZX14" s="213" t="s">
        <v>23</v>
      </c>
      <c r="ZY14" s="213"/>
      <c r="ZZ14" s="213"/>
      <c r="AAA14" s="213"/>
      <c r="AAB14" s="101"/>
      <c r="AAC14" s="101"/>
      <c r="AAD14" s="212" t="s">
        <v>24</v>
      </c>
      <c r="AAE14" s="212"/>
      <c r="AAF14" s="212"/>
      <c r="AAG14" s="212"/>
      <c r="AAH14" s="81"/>
      <c r="AAI14" s="81"/>
      <c r="AAJ14" s="213" t="s">
        <v>25</v>
      </c>
      <c r="AAK14" s="213"/>
      <c r="AAL14" s="213"/>
      <c r="AAM14" s="213"/>
      <c r="AAN14" s="101"/>
      <c r="AAO14" s="101"/>
      <c r="AAP14" s="212" t="s">
        <v>26</v>
      </c>
      <c r="AAQ14" s="212"/>
      <c r="AAR14" s="212"/>
      <c r="AAS14" s="212"/>
      <c r="AAT14" s="81"/>
      <c r="AAU14" s="81"/>
      <c r="AAV14" s="81"/>
      <c r="AAW14" s="82"/>
      <c r="AAX14" s="80"/>
      <c r="AAY14" s="81"/>
      <c r="AAZ14" s="81"/>
      <c r="ABA14" s="81"/>
      <c r="ABB14" s="212" t="s">
        <v>18</v>
      </c>
      <c r="ABC14" s="212"/>
      <c r="ABD14" s="212"/>
      <c r="ABE14" s="212"/>
      <c r="ABF14" s="81"/>
      <c r="ABG14" s="81"/>
      <c r="ABH14" s="213" t="s">
        <v>19</v>
      </c>
      <c r="ABI14" s="213"/>
      <c r="ABJ14" s="213"/>
      <c r="ABK14" s="213"/>
      <c r="ABL14" s="101"/>
      <c r="ABM14" s="101"/>
      <c r="ABN14" s="212" t="s">
        <v>20</v>
      </c>
      <c r="ABO14" s="212"/>
      <c r="ABP14" s="212"/>
      <c r="ABQ14" s="212"/>
      <c r="ABR14" s="81"/>
      <c r="ABS14" s="81"/>
      <c r="ABT14" s="213" t="s">
        <v>21</v>
      </c>
      <c r="ABU14" s="213"/>
      <c r="ABV14" s="213"/>
      <c r="ABW14" s="213"/>
      <c r="ABX14" s="101"/>
      <c r="ABY14" s="101"/>
      <c r="ABZ14" s="212" t="s">
        <v>22</v>
      </c>
      <c r="ACA14" s="212"/>
      <c r="ACB14" s="212"/>
      <c r="ACC14" s="212"/>
      <c r="ACD14" s="81"/>
      <c r="ACE14" s="81"/>
      <c r="ACF14" s="213" t="s">
        <v>23</v>
      </c>
      <c r="ACG14" s="213"/>
      <c r="ACH14" s="213"/>
      <c r="ACI14" s="213"/>
      <c r="ACJ14" s="101"/>
      <c r="ACK14" s="101"/>
      <c r="ACL14" s="212" t="s">
        <v>24</v>
      </c>
      <c r="ACM14" s="212"/>
      <c r="ACN14" s="212"/>
      <c r="ACO14" s="212"/>
      <c r="ACP14" s="81"/>
      <c r="ACQ14" s="81"/>
      <c r="ACR14" s="213" t="s">
        <v>25</v>
      </c>
      <c r="ACS14" s="213"/>
      <c r="ACT14" s="213"/>
      <c r="ACU14" s="213"/>
      <c r="ACV14" s="101"/>
      <c r="ACW14" s="101"/>
      <c r="ACX14" s="212" t="s">
        <v>26</v>
      </c>
      <c r="ACY14" s="212"/>
      <c r="ACZ14" s="212"/>
      <c r="ADA14" s="212"/>
      <c r="ADB14" s="81"/>
      <c r="ADC14" s="81"/>
      <c r="ADD14" s="81"/>
      <c r="ADE14" s="82"/>
      <c r="ADF14" s="80"/>
      <c r="ADG14" s="81"/>
      <c r="ADH14" s="81"/>
      <c r="ADI14" s="81"/>
      <c r="ADJ14" s="212" t="s">
        <v>18</v>
      </c>
      <c r="ADK14" s="212"/>
      <c r="ADL14" s="212"/>
      <c r="ADM14" s="212"/>
      <c r="ADN14" s="81"/>
      <c r="ADO14" s="81"/>
      <c r="ADP14" s="213" t="s">
        <v>19</v>
      </c>
      <c r="ADQ14" s="213"/>
      <c r="ADR14" s="213"/>
      <c r="ADS14" s="213"/>
      <c r="ADT14" s="101"/>
      <c r="ADU14" s="101"/>
      <c r="ADV14" s="212" t="s">
        <v>20</v>
      </c>
      <c r="ADW14" s="212"/>
      <c r="ADX14" s="212"/>
      <c r="ADY14" s="212"/>
      <c r="ADZ14" s="81"/>
      <c r="AEA14" s="81"/>
      <c r="AEB14" s="213" t="s">
        <v>21</v>
      </c>
      <c r="AEC14" s="213"/>
      <c r="AED14" s="213"/>
      <c r="AEE14" s="213"/>
      <c r="AEF14" s="101"/>
      <c r="AEG14" s="101"/>
      <c r="AEH14" s="212" t="s">
        <v>22</v>
      </c>
      <c r="AEI14" s="212"/>
      <c r="AEJ14" s="212"/>
      <c r="AEK14" s="212"/>
      <c r="AEL14" s="81"/>
      <c r="AEM14" s="81"/>
      <c r="AEN14" s="213" t="s">
        <v>23</v>
      </c>
      <c r="AEO14" s="213"/>
      <c r="AEP14" s="213"/>
      <c r="AEQ14" s="213"/>
      <c r="AER14" s="101"/>
      <c r="AES14" s="101"/>
      <c r="AET14" s="212" t="s">
        <v>24</v>
      </c>
      <c r="AEU14" s="212"/>
      <c r="AEV14" s="212"/>
      <c r="AEW14" s="212"/>
      <c r="AEX14" s="81"/>
      <c r="AEY14" s="81"/>
      <c r="AEZ14" s="213" t="s">
        <v>25</v>
      </c>
      <c r="AFA14" s="213"/>
      <c r="AFB14" s="213"/>
      <c r="AFC14" s="213"/>
      <c r="AFD14" s="101"/>
      <c r="AFE14" s="101"/>
      <c r="AFF14" s="212" t="s">
        <v>26</v>
      </c>
      <c r="AFG14" s="212"/>
      <c r="AFH14" s="212"/>
      <c r="AFI14" s="212"/>
      <c r="AFJ14" s="81"/>
      <c r="AFK14" s="81"/>
      <c r="AFL14" s="81"/>
      <c r="AFM14" s="82"/>
      <c r="AFN14" s="80"/>
      <c r="AFO14" s="81"/>
      <c r="AFP14" s="81"/>
      <c r="AFQ14" s="81"/>
      <c r="AFR14" s="212" t="s">
        <v>18</v>
      </c>
      <c r="AFS14" s="212"/>
      <c r="AFT14" s="212"/>
      <c r="AFU14" s="212"/>
      <c r="AFV14" s="81"/>
      <c r="AFW14" s="81"/>
      <c r="AFX14" s="213" t="s">
        <v>19</v>
      </c>
      <c r="AFY14" s="213"/>
      <c r="AFZ14" s="213"/>
      <c r="AGA14" s="213"/>
      <c r="AGB14" s="101"/>
      <c r="AGC14" s="101"/>
      <c r="AGD14" s="212" t="s">
        <v>20</v>
      </c>
      <c r="AGE14" s="212"/>
      <c r="AGF14" s="212"/>
      <c r="AGG14" s="212"/>
      <c r="AGH14" s="81"/>
      <c r="AGI14" s="81"/>
      <c r="AGJ14" s="213" t="s">
        <v>21</v>
      </c>
      <c r="AGK14" s="213"/>
      <c r="AGL14" s="213"/>
      <c r="AGM14" s="213"/>
      <c r="AGN14" s="101"/>
      <c r="AGO14" s="101"/>
      <c r="AGP14" s="212" t="s">
        <v>22</v>
      </c>
      <c r="AGQ14" s="212"/>
      <c r="AGR14" s="212"/>
      <c r="AGS14" s="212"/>
      <c r="AGT14" s="81"/>
      <c r="AGU14" s="81"/>
      <c r="AGV14" s="213" t="s">
        <v>23</v>
      </c>
      <c r="AGW14" s="213"/>
      <c r="AGX14" s="213"/>
      <c r="AGY14" s="213"/>
      <c r="AGZ14" s="101"/>
      <c r="AHA14" s="101"/>
      <c r="AHB14" s="212" t="s">
        <v>24</v>
      </c>
      <c r="AHC14" s="212"/>
      <c r="AHD14" s="212"/>
      <c r="AHE14" s="212"/>
      <c r="AHF14" s="81"/>
      <c r="AHG14" s="81"/>
      <c r="AHH14" s="213" t="s">
        <v>25</v>
      </c>
      <c r="AHI14" s="213"/>
      <c r="AHJ14" s="213"/>
      <c r="AHK14" s="213"/>
      <c r="AHL14" s="101"/>
      <c r="AHM14" s="101"/>
      <c r="AHN14" s="212" t="s">
        <v>26</v>
      </c>
      <c r="AHO14" s="212"/>
      <c r="AHP14" s="212"/>
      <c r="AHQ14" s="212"/>
      <c r="AHR14" s="81"/>
      <c r="AHS14" s="81"/>
      <c r="AHT14" s="81"/>
      <c r="AHU14" s="82"/>
      <c r="AHV14" s="80"/>
      <c r="AHW14" s="81"/>
      <c r="AHX14" s="81"/>
      <c r="AHY14" s="81"/>
      <c r="AHZ14" s="212" t="s">
        <v>18</v>
      </c>
      <c r="AIA14" s="212"/>
      <c r="AIB14" s="212"/>
      <c r="AIC14" s="212"/>
      <c r="AID14" s="81"/>
      <c r="AIE14" s="81"/>
      <c r="AIF14" s="213" t="s">
        <v>19</v>
      </c>
      <c r="AIG14" s="213"/>
      <c r="AIH14" s="213"/>
      <c r="AII14" s="213"/>
      <c r="AIJ14" s="101"/>
      <c r="AIK14" s="101"/>
      <c r="AIL14" s="212" t="s">
        <v>20</v>
      </c>
      <c r="AIM14" s="212"/>
      <c r="AIN14" s="212"/>
      <c r="AIO14" s="212"/>
      <c r="AIP14" s="81"/>
      <c r="AIQ14" s="81"/>
      <c r="AIR14" s="213" t="s">
        <v>21</v>
      </c>
      <c r="AIS14" s="213"/>
      <c r="AIT14" s="213"/>
      <c r="AIU14" s="213"/>
      <c r="AIV14" s="101"/>
      <c r="AIW14" s="101"/>
      <c r="AIX14" s="212" t="s">
        <v>22</v>
      </c>
      <c r="AIY14" s="212"/>
      <c r="AIZ14" s="212"/>
      <c r="AJA14" s="212"/>
      <c r="AJB14" s="81"/>
      <c r="AJC14" s="81"/>
      <c r="AJD14" s="213" t="s">
        <v>23</v>
      </c>
      <c r="AJE14" s="213"/>
      <c r="AJF14" s="213"/>
      <c r="AJG14" s="213"/>
      <c r="AJH14" s="101"/>
      <c r="AJI14" s="101"/>
      <c r="AJJ14" s="212" t="s">
        <v>24</v>
      </c>
      <c r="AJK14" s="212"/>
      <c r="AJL14" s="212"/>
      <c r="AJM14" s="212"/>
      <c r="AJN14" s="81"/>
      <c r="AJO14" s="81"/>
      <c r="AJP14" s="213" t="s">
        <v>25</v>
      </c>
      <c r="AJQ14" s="213"/>
      <c r="AJR14" s="213"/>
      <c r="AJS14" s="213"/>
      <c r="AJT14" s="101"/>
      <c r="AJU14" s="101"/>
      <c r="AJV14" s="212" t="s">
        <v>26</v>
      </c>
      <c r="AJW14" s="212"/>
      <c r="AJX14" s="212"/>
      <c r="AJY14" s="212"/>
      <c r="AJZ14" s="81"/>
      <c r="AKA14" s="81"/>
      <c r="AKB14" s="81"/>
      <c r="AKC14" s="82"/>
      <c r="AKD14" s="80"/>
      <c r="AKE14" s="81"/>
      <c r="AKF14" s="81"/>
      <c r="AKG14" s="81"/>
      <c r="AKH14" s="212" t="s">
        <v>18</v>
      </c>
      <c r="AKI14" s="212"/>
      <c r="AKJ14" s="212"/>
      <c r="AKK14" s="212"/>
      <c r="AKL14" s="81"/>
      <c r="AKM14" s="81"/>
      <c r="AKN14" s="213" t="s">
        <v>19</v>
      </c>
      <c r="AKO14" s="213"/>
      <c r="AKP14" s="213"/>
      <c r="AKQ14" s="213"/>
      <c r="AKR14" s="101"/>
      <c r="AKS14" s="101"/>
      <c r="AKT14" s="212" t="s">
        <v>20</v>
      </c>
      <c r="AKU14" s="212"/>
      <c r="AKV14" s="212"/>
      <c r="AKW14" s="212"/>
      <c r="AKX14" s="81"/>
      <c r="AKY14" s="81"/>
      <c r="AKZ14" s="213" t="s">
        <v>21</v>
      </c>
      <c r="ALA14" s="213"/>
      <c r="ALB14" s="213"/>
      <c r="ALC14" s="213"/>
      <c r="ALD14" s="101"/>
      <c r="ALE14" s="101"/>
      <c r="ALF14" s="212" t="s">
        <v>22</v>
      </c>
      <c r="ALG14" s="212"/>
      <c r="ALH14" s="212"/>
      <c r="ALI14" s="212"/>
      <c r="ALJ14" s="81"/>
      <c r="ALK14" s="81"/>
      <c r="ALL14" s="213" t="s">
        <v>23</v>
      </c>
      <c r="ALM14" s="213"/>
      <c r="ALN14" s="213"/>
      <c r="ALO14" s="213"/>
      <c r="ALP14" s="101"/>
      <c r="ALQ14" s="101"/>
      <c r="ALR14" s="212" t="s">
        <v>24</v>
      </c>
      <c r="ALS14" s="212"/>
      <c r="ALT14" s="212"/>
      <c r="ALU14" s="212"/>
      <c r="ALV14" s="81"/>
      <c r="ALW14" s="81"/>
      <c r="ALX14" s="213" t="s">
        <v>25</v>
      </c>
      <c r="ALY14" s="213"/>
      <c r="ALZ14" s="213"/>
      <c r="AMA14" s="213"/>
      <c r="AMB14" s="101"/>
      <c r="AMC14" s="101"/>
      <c r="AMD14" s="212" t="s">
        <v>26</v>
      </c>
      <c r="AME14" s="212"/>
      <c r="AMF14" s="212"/>
      <c r="AMG14" s="212"/>
      <c r="AMH14" s="81"/>
      <c r="AMI14" s="81"/>
      <c r="AMJ14" s="81"/>
      <c r="AMK14" s="82"/>
      <c r="AML14" s="80"/>
      <c r="AMM14" s="81"/>
      <c r="AMN14" s="81"/>
      <c r="AMO14" s="81"/>
      <c r="AMP14" s="212" t="s">
        <v>18</v>
      </c>
      <c r="AMQ14" s="212"/>
      <c r="AMR14" s="212"/>
      <c r="AMS14" s="212"/>
      <c r="AMT14" s="81"/>
      <c r="AMU14" s="81"/>
      <c r="AMV14" s="213" t="s">
        <v>19</v>
      </c>
      <c r="AMW14" s="213"/>
      <c r="AMX14" s="213"/>
      <c r="AMY14" s="213"/>
      <c r="AMZ14" s="101"/>
      <c r="ANA14" s="101"/>
      <c r="ANB14" s="212" t="s">
        <v>20</v>
      </c>
      <c r="ANC14" s="212"/>
      <c r="AND14" s="212"/>
      <c r="ANE14" s="212"/>
      <c r="ANF14" s="81"/>
      <c r="ANG14" s="81"/>
      <c r="ANH14" s="213" t="s">
        <v>21</v>
      </c>
      <c r="ANI14" s="213"/>
      <c r="ANJ14" s="213"/>
      <c r="ANK14" s="213"/>
      <c r="ANL14" s="101"/>
      <c r="ANM14" s="101"/>
      <c r="ANN14" s="212" t="s">
        <v>22</v>
      </c>
      <c r="ANO14" s="212"/>
      <c r="ANP14" s="212"/>
      <c r="ANQ14" s="212"/>
      <c r="ANR14" s="81"/>
      <c r="ANS14" s="81"/>
      <c r="ANT14" s="213" t="s">
        <v>23</v>
      </c>
      <c r="ANU14" s="213"/>
      <c r="ANV14" s="213"/>
      <c r="ANW14" s="213"/>
      <c r="ANX14" s="101"/>
      <c r="ANY14" s="101"/>
      <c r="ANZ14" s="212" t="s">
        <v>24</v>
      </c>
      <c r="AOA14" s="212"/>
      <c r="AOB14" s="212"/>
      <c r="AOC14" s="212"/>
      <c r="AOD14" s="81"/>
      <c r="AOE14" s="81"/>
      <c r="AOF14" s="213" t="s">
        <v>25</v>
      </c>
      <c r="AOG14" s="213"/>
      <c r="AOH14" s="213"/>
      <c r="AOI14" s="213"/>
      <c r="AOJ14" s="101"/>
      <c r="AOK14" s="101"/>
      <c r="AOL14" s="212" t="s">
        <v>26</v>
      </c>
      <c r="AOM14" s="212"/>
      <c r="AON14" s="212"/>
      <c r="AOO14" s="212"/>
      <c r="AOP14" s="81"/>
      <c r="AOQ14" s="81"/>
      <c r="AOR14" s="81"/>
      <c r="AOS14" s="82"/>
      <c r="AOT14" s="80"/>
      <c r="AOU14" s="81"/>
      <c r="AOV14" s="81"/>
      <c r="AOW14" s="81"/>
      <c r="AOX14" s="212" t="s">
        <v>18</v>
      </c>
      <c r="AOY14" s="212"/>
      <c r="AOZ14" s="212"/>
      <c r="APA14" s="212"/>
      <c r="APB14" s="81"/>
      <c r="APC14" s="81"/>
      <c r="APD14" s="213" t="s">
        <v>19</v>
      </c>
      <c r="APE14" s="213"/>
      <c r="APF14" s="213"/>
      <c r="APG14" s="213"/>
      <c r="APH14" s="101"/>
      <c r="API14" s="101"/>
      <c r="APJ14" s="212" t="s">
        <v>20</v>
      </c>
      <c r="APK14" s="212"/>
      <c r="APL14" s="212"/>
      <c r="APM14" s="212"/>
      <c r="APN14" s="81"/>
      <c r="APO14" s="81"/>
      <c r="APP14" s="213" t="s">
        <v>21</v>
      </c>
      <c r="APQ14" s="213"/>
      <c r="APR14" s="213"/>
      <c r="APS14" s="213"/>
      <c r="APT14" s="101"/>
      <c r="APU14" s="101"/>
      <c r="APV14" s="212" t="s">
        <v>22</v>
      </c>
      <c r="APW14" s="212"/>
      <c r="APX14" s="212"/>
      <c r="APY14" s="212"/>
      <c r="APZ14" s="81"/>
      <c r="AQA14" s="81"/>
      <c r="AQB14" s="213" t="s">
        <v>23</v>
      </c>
      <c r="AQC14" s="213"/>
      <c r="AQD14" s="213"/>
      <c r="AQE14" s="213"/>
      <c r="AQF14" s="101"/>
      <c r="AQG14" s="101"/>
      <c r="AQH14" s="212" t="s">
        <v>24</v>
      </c>
      <c r="AQI14" s="212"/>
      <c r="AQJ14" s="212"/>
      <c r="AQK14" s="212"/>
      <c r="AQL14" s="81"/>
      <c r="AQM14" s="81"/>
      <c r="AQN14" s="213" t="s">
        <v>25</v>
      </c>
      <c r="AQO14" s="213"/>
      <c r="AQP14" s="213"/>
      <c r="AQQ14" s="213"/>
      <c r="AQR14" s="101"/>
      <c r="AQS14" s="101"/>
      <c r="AQT14" s="212" t="s">
        <v>26</v>
      </c>
      <c r="AQU14" s="212"/>
      <c r="AQV14" s="212"/>
      <c r="AQW14" s="212"/>
      <c r="AQX14" s="81"/>
      <c r="AQY14" s="81"/>
      <c r="AQZ14" s="81"/>
      <c r="ARA14" s="82"/>
      <c r="ARB14" s="80"/>
      <c r="ARC14" s="81"/>
      <c r="ARD14" s="81"/>
      <c r="ARE14" s="81"/>
      <c r="ARF14" s="212" t="s">
        <v>18</v>
      </c>
      <c r="ARG14" s="212"/>
      <c r="ARH14" s="212"/>
      <c r="ARI14" s="212"/>
      <c r="ARJ14" s="81"/>
      <c r="ARK14" s="81"/>
      <c r="ARL14" s="213" t="s">
        <v>19</v>
      </c>
      <c r="ARM14" s="213"/>
      <c r="ARN14" s="213"/>
      <c r="ARO14" s="213"/>
      <c r="ARP14" s="101"/>
      <c r="ARQ14" s="101"/>
      <c r="ARR14" s="212" t="s">
        <v>20</v>
      </c>
      <c r="ARS14" s="212"/>
      <c r="ART14" s="212"/>
      <c r="ARU14" s="212"/>
      <c r="ARV14" s="81"/>
      <c r="ARW14" s="81"/>
      <c r="ARX14" s="213" t="s">
        <v>21</v>
      </c>
      <c r="ARY14" s="213"/>
      <c r="ARZ14" s="213"/>
      <c r="ASA14" s="213"/>
      <c r="ASB14" s="101"/>
      <c r="ASC14" s="101"/>
      <c r="ASD14" s="212" t="s">
        <v>22</v>
      </c>
      <c r="ASE14" s="212"/>
      <c r="ASF14" s="212"/>
      <c r="ASG14" s="212"/>
      <c r="ASH14" s="81"/>
      <c r="ASI14" s="81"/>
      <c r="ASJ14" s="213" t="s">
        <v>23</v>
      </c>
      <c r="ASK14" s="213"/>
      <c r="ASL14" s="213"/>
      <c r="ASM14" s="213"/>
      <c r="ASN14" s="101"/>
      <c r="ASO14" s="101"/>
      <c r="ASP14" s="212" t="s">
        <v>24</v>
      </c>
      <c r="ASQ14" s="212"/>
      <c r="ASR14" s="212"/>
      <c r="ASS14" s="212"/>
      <c r="AST14" s="81"/>
      <c r="ASU14" s="81"/>
      <c r="ASV14" s="213" t="s">
        <v>25</v>
      </c>
      <c r="ASW14" s="213"/>
      <c r="ASX14" s="213"/>
      <c r="ASY14" s="213"/>
      <c r="ASZ14" s="101"/>
      <c r="ATA14" s="101"/>
      <c r="ATB14" s="212" t="s">
        <v>26</v>
      </c>
      <c r="ATC14" s="212"/>
      <c r="ATD14" s="212"/>
      <c r="ATE14" s="212"/>
      <c r="ATF14" s="81"/>
      <c r="ATG14" s="81"/>
      <c r="ATH14" s="81"/>
      <c r="ATI14" s="82"/>
      <c r="ATJ14" s="80"/>
      <c r="ATK14" s="81"/>
      <c r="ATL14" s="81"/>
      <c r="ATM14" s="81"/>
      <c r="ATN14" s="212" t="s">
        <v>18</v>
      </c>
      <c r="ATO14" s="212"/>
      <c r="ATP14" s="212"/>
      <c r="ATQ14" s="212"/>
      <c r="ATR14" s="81"/>
      <c r="ATS14" s="81"/>
      <c r="ATT14" s="213" t="s">
        <v>19</v>
      </c>
      <c r="ATU14" s="213"/>
      <c r="ATV14" s="213"/>
      <c r="ATW14" s="213"/>
      <c r="ATX14" s="101"/>
      <c r="ATY14" s="101"/>
      <c r="ATZ14" s="212" t="s">
        <v>20</v>
      </c>
      <c r="AUA14" s="212"/>
      <c r="AUB14" s="212"/>
      <c r="AUC14" s="212"/>
      <c r="AUD14" s="81"/>
      <c r="AUE14" s="81"/>
      <c r="AUF14" s="213" t="s">
        <v>21</v>
      </c>
      <c r="AUG14" s="213"/>
      <c r="AUH14" s="213"/>
      <c r="AUI14" s="213"/>
      <c r="AUJ14" s="101"/>
      <c r="AUK14" s="101"/>
      <c r="AUL14" s="212" t="s">
        <v>22</v>
      </c>
      <c r="AUM14" s="212"/>
      <c r="AUN14" s="212"/>
      <c r="AUO14" s="212"/>
      <c r="AUP14" s="81"/>
      <c r="AUQ14" s="81"/>
      <c r="AUR14" s="213" t="s">
        <v>23</v>
      </c>
      <c r="AUS14" s="213"/>
      <c r="AUT14" s="213"/>
      <c r="AUU14" s="213"/>
      <c r="AUV14" s="101"/>
      <c r="AUW14" s="101"/>
      <c r="AUX14" s="212" t="s">
        <v>24</v>
      </c>
      <c r="AUY14" s="212"/>
      <c r="AUZ14" s="212"/>
      <c r="AVA14" s="212"/>
      <c r="AVB14" s="81"/>
      <c r="AVC14" s="81"/>
      <c r="AVD14" s="213" t="s">
        <v>25</v>
      </c>
      <c r="AVE14" s="213"/>
      <c r="AVF14" s="213"/>
      <c r="AVG14" s="213"/>
      <c r="AVH14" s="101"/>
      <c r="AVI14" s="101"/>
      <c r="AVJ14" s="212" t="s">
        <v>26</v>
      </c>
      <c r="AVK14" s="212"/>
      <c r="AVL14" s="212"/>
      <c r="AVM14" s="212"/>
      <c r="AVN14" s="81"/>
      <c r="AVO14" s="81"/>
      <c r="AVP14" s="81"/>
      <c r="AVQ14" s="82"/>
      <c r="AVR14" s="80"/>
      <c r="AVS14" s="81"/>
      <c r="AVT14" s="81"/>
      <c r="AVU14" s="81"/>
      <c r="AVV14" s="212" t="s">
        <v>18</v>
      </c>
      <c r="AVW14" s="212"/>
      <c r="AVX14" s="212"/>
      <c r="AVY14" s="212"/>
      <c r="AVZ14" s="81"/>
      <c r="AWA14" s="81"/>
      <c r="AWB14" s="213" t="s">
        <v>19</v>
      </c>
      <c r="AWC14" s="213"/>
      <c r="AWD14" s="213"/>
      <c r="AWE14" s="213"/>
      <c r="AWF14" s="101"/>
      <c r="AWG14" s="101"/>
      <c r="AWH14" s="212" t="s">
        <v>20</v>
      </c>
      <c r="AWI14" s="212"/>
      <c r="AWJ14" s="212"/>
      <c r="AWK14" s="212"/>
      <c r="AWL14" s="81"/>
      <c r="AWM14" s="81"/>
      <c r="AWN14" s="213" t="s">
        <v>21</v>
      </c>
      <c r="AWO14" s="213"/>
      <c r="AWP14" s="213"/>
      <c r="AWQ14" s="213"/>
      <c r="AWR14" s="101"/>
      <c r="AWS14" s="101"/>
      <c r="AWT14" s="212" t="s">
        <v>22</v>
      </c>
      <c r="AWU14" s="212"/>
      <c r="AWV14" s="212"/>
      <c r="AWW14" s="212"/>
      <c r="AWX14" s="81"/>
      <c r="AWY14" s="81"/>
      <c r="AWZ14" s="213" t="s">
        <v>23</v>
      </c>
      <c r="AXA14" s="213"/>
      <c r="AXB14" s="213"/>
      <c r="AXC14" s="213"/>
      <c r="AXD14" s="101"/>
      <c r="AXE14" s="101"/>
      <c r="AXF14" s="212" t="s">
        <v>24</v>
      </c>
      <c r="AXG14" s="212"/>
      <c r="AXH14" s="212"/>
      <c r="AXI14" s="212"/>
      <c r="AXJ14" s="81"/>
      <c r="AXK14" s="81"/>
      <c r="AXL14" s="213" t="s">
        <v>25</v>
      </c>
      <c r="AXM14" s="213"/>
      <c r="AXN14" s="213"/>
      <c r="AXO14" s="213"/>
      <c r="AXP14" s="101"/>
      <c r="AXQ14" s="101"/>
      <c r="AXR14" s="212" t="s">
        <v>26</v>
      </c>
      <c r="AXS14" s="212"/>
      <c r="AXT14" s="212"/>
      <c r="AXU14" s="212"/>
      <c r="AXV14" s="81"/>
      <c r="AXW14" s="81"/>
      <c r="AXX14" s="81"/>
      <c r="AXY14" s="82"/>
      <c r="AXZ14" s="80"/>
      <c r="AYA14" s="81"/>
      <c r="AYB14" s="81"/>
      <c r="AYC14" s="81"/>
      <c r="AYD14" s="212" t="s">
        <v>18</v>
      </c>
      <c r="AYE14" s="212"/>
      <c r="AYF14" s="212"/>
      <c r="AYG14" s="212"/>
      <c r="AYH14" s="81"/>
      <c r="AYI14" s="81"/>
      <c r="AYJ14" s="213" t="s">
        <v>19</v>
      </c>
      <c r="AYK14" s="213"/>
      <c r="AYL14" s="213"/>
      <c r="AYM14" s="213"/>
      <c r="AYN14" s="101"/>
      <c r="AYO14" s="101"/>
      <c r="AYP14" s="212" t="s">
        <v>20</v>
      </c>
      <c r="AYQ14" s="212"/>
      <c r="AYR14" s="212"/>
      <c r="AYS14" s="212"/>
      <c r="AYT14" s="81"/>
      <c r="AYU14" s="81"/>
      <c r="AYV14" s="213" t="s">
        <v>21</v>
      </c>
      <c r="AYW14" s="213"/>
      <c r="AYX14" s="213"/>
      <c r="AYY14" s="213"/>
      <c r="AYZ14" s="101"/>
      <c r="AZA14" s="101"/>
      <c r="AZB14" s="212" t="s">
        <v>22</v>
      </c>
      <c r="AZC14" s="212"/>
      <c r="AZD14" s="212"/>
      <c r="AZE14" s="212"/>
      <c r="AZF14" s="81"/>
      <c r="AZG14" s="81"/>
      <c r="AZH14" s="213" t="s">
        <v>23</v>
      </c>
      <c r="AZI14" s="213"/>
      <c r="AZJ14" s="213"/>
      <c r="AZK14" s="213"/>
      <c r="AZL14" s="101"/>
      <c r="AZM14" s="101"/>
      <c r="AZN14" s="212" t="s">
        <v>24</v>
      </c>
      <c r="AZO14" s="212"/>
      <c r="AZP14" s="212"/>
      <c r="AZQ14" s="212"/>
      <c r="AZR14" s="81"/>
      <c r="AZS14" s="81"/>
      <c r="AZT14" s="213" t="s">
        <v>25</v>
      </c>
      <c r="AZU14" s="213"/>
      <c r="AZV14" s="213"/>
      <c r="AZW14" s="213"/>
      <c r="AZX14" s="101"/>
      <c r="AZY14" s="101"/>
      <c r="AZZ14" s="212" t="s">
        <v>26</v>
      </c>
      <c r="BAA14" s="212"/>
      <c r="BAB14" s="212"/>
      <c r="BAC14" s="212"/>
      <c r="BAD14" s="81"/>
      <c r="BAE14" s="81"/>
      <c r="BAF14" s="81"/>
      <c r="BAG14" s="82"/>
      <c r="BAH14" s="80"/>
      <c r="BAI14" s="81"/>
      <c r="BAJ14" s="81"/>
      <c r="BAK14" s="81"/>
      <c r="BAL14" s="212" t="s">
        <v>18</v>
      </c>
      <c r="BAM14" s="212"/>
      <c r="BAN14" s="212"/>
      <c r="BAO14" s="212"/>
      <c r="BAP14" s="81"/>
      <c r="BAQ14" s="81"/>
      <c r="BAR14" s="213" t="s">
        <v>19</v>
      </c>
      <c r="BAS14" s="213"/>
      <c r="BAT14" s="213"/>
      <c r="BAU14" s="213"/>
      <c r="BAV14" s="101"/>
      <c r="BAW14" s="101"/>
      <c r="BAX14" s="212" t="s">
        <v>20</v>
      </c>
      <c r="BAY14" s="212"/>
      <c r="BAZ14" s="212"/>
      <c r="BBA14" s="212"/>
      <c r="BBB14" s="81"/>
      <c r="BBC14" s="81"/>
      <c r="BBD14" s="213" t="s">
        <v>21</v>
      </c>
      <c r="BBE14" s="213"/>
      <c r="BBF14" s="213"/>
      <c r="BBG14" s="213"/>
      <c r="BBH14" s="101"/>
      <c r="BBI14" s="101"/>
      <c r="BBJ14" s="212" t="s">
        <v>22</v>
      </c>
      <c r="BBK14" s="212"/>
      <c r="BBL14" s="212"/>
      <c r="BBM14" s="212"/>
      <c r="BBN14" s="81"/>
      <c r="BBO14" s="81"/>
      <c r="BBP14" s="213" t="s">
        <v>23</v>
      </c>
      <c r="BBQ14" s="213"/>
      <c r="BBR14" s="213"/>
      <c r="BBS14" s="213"/>
      <c r="BBT14" s="101"/>
      <c r="BBU14" s="101"/>
      <c r="BBV14" s="212" t="s">
        <v>24</v>
      </c>
      <c r="BBW14" s="212"/>
      <c r="BBX14" s="212"/>
      <c r="BBY14" s="212"/>
      <c r="BBZ14" s="81"/>
      <c r="BCA14" s="81"/>
      <c r="BCB14" s="213" t="s">
        <v>25</v>
      </c>
      <c r="BCC14" s="213"/>
      <c r="BCD14" s="213"/>
      <c r="BCE14" s="213"/>
      <c r="BCF14" s="101"/>
      <c r="BCG14" s="101"/>
      <c r="BCH14" s="212" t="s">
        <v>26</v>
      </c>
      <c r="BCI14" s="212"/>
      <c r="BCJ14" s="212"/>
      <c r="BCK14" s="212"/>
      <c r="BCL14" s="81"/>
      <c r="BCM14" s="81"/>
      <c r="BCN14" s="81"/>
      <c r="BCO14" s="82"/>
      <c r="BCP14" s="80"/>
      <c r="BCQ14" s="81"/>
      <c r="BCR14" s="81"/>
      <c r="BCS14" s="81"/>
      <c r="BCT14" s="212" t="s">
        <v>18</v>
      </c>
      <c r="BCU14" s="212"/>
      <c r="BCV14" s="212"/>
      <c r="BCW14" s="212"/>
      <c r="BCX14" s="81"/>
      <c r="BCY14" s="81"/>
      <c r="BCZ14" s="213" t="s">
        <v>19</v>
      </c>
      <c r="BDA14" s="213"/>
      <c r="BDB14" s="213"/>
      <c r="BDC14" s="213"/>
      <c r="BDD14" s="101"/>
      <c r="BDE14" s="101"/>
      <c r="BDF14" s="212" t="s">
        <v>20</v>
      </c>
      <c r="BDG14" s="212"/>
      <c r="BDH14" s="212"/>
      <c r="BDI14" s="212"/>
      <c r="BDJ14" s="81"/>
      <c r="BDK14" s="81"/>
      <c r="BDL14" s="213" t="s">
        <v>21</v>
      </c>
      <c r="BDM14" s="213"/>
      <c r="BDN14" s="213"/>
      <c r="BDO14" s="213"/>
      <c r="BDP14" s="101"/>
      <c r="BDQ14" s="101"/>
      <c r="BDR14" s="212" t="s">
        <v>22</v>
      </c>
      <c r="BDS14" s="212"/>
      <c r="BDT14" s="212"/>
      <c r="BDU14" s="212"/>
      <c r="BDV14" s="81"/>
      <c r="BDW14" s="81"/>
      <c r="BDX14" s="213" t="s">
        <v>23</v>
      </c>
      <c r="BDY14" s="213"/>
      <c r="BDZ14" s="213"/>
      <c r="BEA14" s="213"/>
      <c r="BEB14" s="101"/>
      <c r="BEC14" s="101"/>
      <c r="BED14" s="212" t="s">
        <v>24</v>
      </c>
      <c r="BEE14" s="212"/>
      <c r="BEF14" s="212"/>
      <c r="BEG14" s="212"/>
      <c r="BEH14" s="81"/>
      <c r="BEI14" s="81"/>
      <c r="BEJ14" s="213" t="s">
        <v>25</v>
      </c>
      <c r="BEK14" s="213"/>
      <c r="BEL14" s="213"/>
      <c r="BEM14" s="213"/>
      <c r="BEN14" s="101"/>
      <c r="BEO14" s="101"/>
      <c r="BEP14" s="212" t="s">
        <v>26</v>
      </c>
      <c r="BEQ14" s="212"/>
      <c r="BER14" s="212"/>
      <c r="BES14" s="212"/>
      <c r="BET14" s="81"/>
      <c r="BEU14" s="81"/>
      <c r="BEV14" s="81"/>
      <c r="BEW14" s="82"/>
      <c r="BEX14" s="80"/>
      <c r="BEY14" s="81"/>
      <c r="BEZ14" s="81"/>
      <c r="BFA14" s="81"/>
      <c r="BFB14" s="212" t="s">
        <v>18</v>
      </c>
      <c r="BFC14" s="212"/>
      <c r="BFD14" s="212"/>
      <c r="BFE14" s="212"/>
      <c r="BFF14" s="81"/>
      <c r="BFG14" s="81"/>
      <c r="BFH14" s="213" t="s">
        <v>19</v>
      </c>
      <c r="BFI14" s="213"/>
      <c r="BFJ14" s="213"/>
      <c r="BFK14" s="213"/>
      <c r="BFL14" s="101"/>
      <c r="BFM14" s="101"/>
      <c r="BFN14" s="212" t="s">
        <v>20</v>
      </c>
      <c r="BFO14" s="212"/>
      <c r="BFP14" s="212"/>
      <c r="BFQ14" s="212"/>
      <c r="BFR14" s="81"/>
      <c r="BFS14" s="81"/>
      <c r="BFT14" s="213" t="s">
        <v>21</v>
      </c>
      <c r="BFU14" s="213"/>
      <c r="BFV14" s="213"/>
      <c r="BFW14" s="213"/>
      <c r="BFX14" s="101"/>
      <c r="BFY14" s="101"/>
      <c r="BFZ14" s="212" t="s">
        <v>22</v>
      </c>
      <c r="BGA14" s="212"/>
      <c r="BGB14" s="212"/>
      <c r="BGC14" s="212"/>
      <c r="BGD14" s="81"/>
      <c r="BGE14" s="81"/>
      <c r="BGF14" s="213" t="s">
        <v>23</v>
      </c>
      <c r="BGG14" s="213"/>
      <c r="BGH14" s="213"/>
      <c r="BGI14" s="213"/>
      <c r="BGJ14" s="101"/>
      <c r="BGK14" s="101"/>
      <c r="BGL14" s="212" t="s">
        <v>24</v>
      </c>
      <c r="BGM14" s="212"/>
      <c r="BGN14" s="212"/>
      <c r="BGO14" s="212"/>
      <c r="BGP14" s="81"/>
      <c r="BGQ14" s="81"/>
      <c r="BGR14" s="213" t="s">
        <v>25</v>
      </c>
      <c r="BGS14" s="213"/>
      <c r="BGT14" s="213"/>
      <c r="BGU14" s="213"/>
      <c r="BGV14" s="101"/>
      <c r="BGW14" s="101"/>
      <c r="BGX14" s="212" t="s">
        <v>26</v>
      </c>
      <c r="BGY14" s="212"/>
      <c r="BGZ14" s="212"/>
      <c r="BHA14" s="212"/>
      <c r="BHB14" s="81"/>
      <c r="BHC14" s="81"/>
      <c r="BHD14" s="81"/>
      <c r="BHE14" s="82"/>
      <c r="BHF14" s="80"/>
      <c r="BHG14" s="81"/>
      <c r="BHH14" s="81"/>
      <c r="BHI14" s="81"/>
      <c r="BHJ14" s="212" t="s">
        <v>18</v>
      </c>
      <c r="BHK14" s="212"/>
      <c r="BHL14" s="212"/>
      <c r="BHM14" s="212"/>
      <c r="BHN14" s="81"/>
      <c r="BHO14" s="81"/>
      <c r="BHP14" s="213" t="s">
        <v>19</v>
      </c>
      <c r="BHQ14" s="213"/>
      <c r="BHR14" s="213"/>
      <c r="BHS14" s="213"/>
      <c r="BHT14" s="101"/>
      <c r="BHU14" s="101"/>
      <c r="BHV14" s="212" t="s">
        <v>20</v>
      </c>
      <c r="BHW14" s="212"/>
      <c r="BHX14" s="212"/>
      <c r="BHY14" s="212"/>
      <c r="BHZ14" s="81"/>
      <c r="BIA14" s="81"/>
      <c r="BIB14" s="213" t="s">
        <v>21</v>
      </c>
      <c r="BIC14" s="213"/>
      <c r="BID14" s="213"/>
      <c r="BIE14" s="213"/>
      <c r="BIF14" s="101"/>
      <c r="BIG14" s="101"/>
      <c r="BIH14" s="212" t="s">
        <v>22</v>
      </c>
      <c r="BII14" s="212"/>
      <c r="BIJ14" s="212"/>
      <c r="BIK14" s="212"/>
      <c r="BIL14" s="81"/>
      <c r="BIM14" s="81"/>
      <c r="BIN14" s="213" t="s">
        <v>23</v>
      </c>
      <c r="BIO14" s="213"/>
      <c r="BIP14" s="213"/>
      <c r="BIQ14" s="213"/>
      <c r="BIR14" s="101"/>
      <c r="BIS14" s="101"/>
      <c r="BIT14" s="212" t="s">
        <v>24</v>
      </c>
      <c r="BIU14" s="212"/>
      <c r="BIV14" s="212"/>
      <c r="BIW14" s="212"/>
      <c r="BIX14" s="81"/>
      <c r="BIY14" s="81"/>
      <c r="BIZ14" s="213" t="s">
        <v>25</v>
      </c>
      <c r="BJA14" s="213"/>
      <c r="BJB14" s="213"/>
      <c r="BJC14" s="213"/>
      <c r="BJD14" s="101"/>
      <c r="BJE14" s="101"/>
      <c r="BJF14" s="212" t="s">
        <v>26</v>
      </c>
      <c r="BJG14" s="212"/>
      <c r="BJH14" s="212"/>
      <c r="BJI14" s="212"/>
      <c r="BJJ14" s="81"/>
      <c r="BJK14" s="81"/>
      <c r="BJL14" s="81"/>
      <c r="BJM14" s="82"/>
      <c r="BJN14" s="80"/>
      <c r="BJO14" s="81"/>
      <c r="BJP14" s="81"/>
      <c r="BJQ14" s="81"/>
      <c r="BJR14" s="212" t="s">
        <v>18</v>
      </c>
      <c r="BJS14" s="212"/>
      <c r="BJT14" s="212"/>
      <c r="BJU14" s="212"/>
      <c r="BJV14" s="81"/>
      <c r="BJW14" s="81"/>
      <c r="BJX14" s="213" t="s">
        <v>19</v>
      </c>
      <c r="BJY14" s="213"/>
      <c r="BJZ14" s="213"/>
      <c r="BKA14" s="213"/>
      <c r="BKB14" s="101"/>
      <c r="BKC14" s="101"/>
      <c r="BKD14" s="212" t="s">
        <v>20</v>
      </c>
      <c r="BKE14" s="212"/>
      <c r="BKF14" s="212"/>
      <c r="BKG14" s="212"/>
      <c r="BKH14" s="81"/>
      <c r="BKI14" s="81"/>
      <c r="BKJ14" s="213" t="s">
        <v>21</v>
      </c>
      <c r="BKK14" s="213"/>
      <c r="BKL14" s="213"/>
      <c r="BKM14" s="213"/>
      <c r="BKN14" s="101"/>
      <c r="BKO14" s="101"/>
      <c r="BKP14" s="212" t="s">
        <v>22</v>
      </c>
      <c r="BKQ14" s="212"/>
      <c r="BKR14" s="212"/>
      <c r="BKS14" s="212"/>
      <c r="BKT14" s="81"/>
      <c r="BKU14" s="81"/>
      <c r="BKV14" s="213" t="s">
        <v>23</v>
      </c>
      <c r="BKW14" s="213"/>
      <c r="BKX14" s="213"/>
      <c r="BKY14" s="213"/>
      <c r="BKZ14" s="101"/>
      <c r="BLA14" s="101"/>
      <c r="BLB14" s="212" t="s">
        <v>24</v>
      </c>
      <c r="BLC14" s="212"/>
      <c r="BLD14" s="212"/>
      <c r="BLE14" s="212"/>
      <c r="BLF14" s="81"/>
      <c r="BLG14" s="81"/>
      <c r="BLH14" s="213" t="s">
        <v>25</v>
      </c>
      <c r="BLI14" s="213"/>
      <c r="BLJ14" s="213"/>
      <c r="BLK14" s="213"/>
      <c r="BLL14" s="101"/>
      <c r="BLM14" s="101"/>
      <c r="BLN14" s="212" t="s">
        <v>26</v>
      </c>
      <c r="BLO14" s="212"/>
      <c r="BLP14" s="212"/>
      <c r="BLQ14" s="212"/>
      <c r="BLR14" s="81"/>
      <c r="BLS14" s="81"/>
      <c r="BLT14" s="81"/>
      <c r="BLU14" s="82"/>
      <c r="BLV14" s="73"/>
    </row>
    <row r="15" spans="1:1686" ht="20.100000000000001" customHeight="1" x14ac:dyDescent="0.25">
      <c r="A15" s="78" t="s">
        <v>27</v>
      </c>
      <c r="B15" s="51" t="str">
        <f>IF(LEN(C15)=0,"",C15)</f>
        <v xml:space="preserve">Absences - imprévus </v>
      </c>
      <c r="C15" s="233"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22"/>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21"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22"/>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21"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22"/>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21"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22"/>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21"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22"/>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21"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30"/>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21"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22"/>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21"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22"/>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21"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22"/>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21"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30"/>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21"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22"/>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21"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22"/>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21"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30"/>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21"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30"/>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21"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30"/>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21"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22"/>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21"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30"/>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21"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22"/>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21"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30"/>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21"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22"/>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21"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22"/>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21"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30"/>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23" t="s">
        <v>35</v>
      </c>
      <c r="D59" s="22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25"/>
      <c r="D60" s="22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17" t="s">
        <v>36</v>
      </c>
      <c r="D61" s="218"/>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19"/>
      <c r="D62" s="220"/>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1" t="s">
        <v>42</v>
      </c>
      <c r="G3" s="242"/>
      <c r="H3" s="150"/>
    </row>
    <row r="4" spans="1:8" s="43" customFormat="1" x14ac:dyDescent="0.3">
      <c r="B4" s="40" t="s">
        <v>32</v>
      </c>
      <c r="C4" s="41">
        <v>21</v>
      </c>
      <c r="D4" s="124" t="str">
        <f xml:space="preserve"> IF(C4="","",setValueToTime(C4))</f>
        <v>1h 45 min</v>
      </c>
      <c r="E4" s="182" t="s">
        <v>98</v>
      </c>
      <c r="F4" s="243"/>
      <c r="G4" s="244"/>
      <c r="H4" s="151"/>
    </row>
    <row r="5" spans="1:8" s="43" customFormat="1" ht="15" thickBot="1" x14ac:dyDescent="0.35">
      <c r="B5" s="44" t="s">
        <v>31</v>
      </c>
      <c r="C5" s="47">
        <v>3</v>
      </c>
      <c r="D5" s="127" t="str">
        <f t="shared" ref="D5" si="0" xml:space="preserve"> IF(C5="","",setValueToTime(C5))</f>
        <v xml:space="preserve"> 15 min</v>
      </c>
      <c r="E5" s="185" t="s">
        <v>79</v>
      </c>
      <c r="F5" s="249"/>
      <c r="G5" s="250"/>
      <c r="H5" s="151"/>
    </row>
    <row r="6" spans="1:8" s="43" customFormat="1" ht="15" thickBot="1" x14ac:dyDescent="0.35">
      <c r="B6" s="85" t="s">
        <v>44</v>
      </c>
      <c r="C6" s="67">
        <f>SUM(C4:C5)</f>
        <v>24</v>
      </c>
      <c r="D6" s="85" t="str">
        <f xml:space="preserve"> setValueToTime(C6)</f>
        <v>2h</v>
      </c>
      <c r="E6" s="94"/>
      <c r="F6" s="239"/>
      <c r="G6" s="240"/>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1" t="s">
        <v>42</v>
      </c>
      <c r="G9" s="242"/>
      <c r="H9" s="150"/>
    </row>
    <row r="10" spans="1:8" s="43" customFormat="1" ht="27" x14ac:dyDescent="0.3">
      <c r="B10" s="40" t="s">
        <v>72</v>
      </c>
      <c r="C10" s="41">
        <v>12</v>
      </c>
      <c r="D10" s="124" t="str">
        <f xml:space="preserve"> IF(C10="","",setValueToTime(C10))</f>
        <v>1h</v>
      </c>
      <c r="E10" s="182" t="s">
        <v>101</v>
      </c>
      <c r="F10" s="243"/>
      <c r="G10" s="244"/>
      <c r="H10" s="151"/>
    </row>
    <row r="11" spans="1:8" s="43" customFormat="1" x14ac:dyDescent="0.3">
      <c r="B11" s="44" t="s">
        <v>32</v>
      </c>
      <c r="C11" s="45">
        <v>23</v>
      </c>
      <c r="D11" s="125" t="str">
        <f t="shared" ref="D11:D12" si="1" xml:space="preserve"> IF(C11="","",setValueToTime(C11))</f>
        <v>1h 55 min</v>
      </c>
      <c r="E11" s="183" t="s">
        <v>96</v>
      </c>
      <c r="F11" s="245"/>
      <c r="G11" s="246"/>
      <c r="H11" s="151"/>
    </row>
    <row r="12" spans="1:8" s="43" customFormat="1" ht="15" thickBot="1" x14ac:dyDescent="0.35">
      <c r="B12" s="44" t="s">
        <v>31</v>
      </c>
      <c r="C12" s="47">
        <v>3</v>
      </c>
      <c r="D12" s="127" t="str">
        <f t="shared" si="1"/>
        <v xml:space="preserve"> 15 min</v>
      </c>
      <c r="E12" s="185" t="s">
        <v>79</v>
      </c>
      <c r="F12" s="249"/>
      <c r="G12" s="250"/>
      <c r="H12" s="151"/>
    </row>
    <row r="13" spans="1:8" s="43" customFormat="1" ht="15" thickBot="1" x14ac:dyDescent="0.35">
      <c r="B13" s="85" t="s">
        <v>44</v>
      </c>
      <c r="C13" s="67">
        <f>SUM(C10:C12)</f>
        <v>38</v>
      </c>
      <c r="D13" s="85" t="str">
        <f xml:space="preserve"> setValueToTime(C13)</f>
        <v>3h 10 min</v>
      </c>
      <c r="E13" s="94"/>
      <c r="F13" s="239"/>
      <c r="G13" s="240"/>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1" t="s">
        <v>42</v>
      </c>
      <c r="G16" s="242"/>
      <c r="H16" s="150"/>
    </row>
    <row r="17" spans="2:8" s="43" customFormat="1" x14ac:dyDescent="0.3">
      <c r="B17" s="40" t="s">
        <v>32</v>
      </c>
      <c r="C17" s="41">
        <v>35</v>
      </c>
      <c r="D17" s="124" t="str">
        <f xml:space="preserve"> IF(C17="","",setValueToTime(C17))</f>
        <v>2h 55 min</v>
      </c>
      <c r="E17" s="182" t="s">
        <v>96</v>
      </c>
      <c r="F17" s="243"/>
      <c r="G17" s="244"/>
      <c r="H17" s="151"/>
    </row>
    <row r="18" spans="2:8" s="43" customFormat="1" ht="15" thickBot="1" x14ac:dyDescent="0.35">
      <c r="B18" s="44" t="s">
        <v>31</v>
      </c>
      <c r="C18" s="47">
        <v>3</v>
      </c>
      <c r="D18" s="127" t="str">
        <f t="shared" ref="D18" si="2" xml:space="preserve"> IF(C18="","",setValueToTime(C18))</f>
        <v xml:space="preserve"> 15 min</v>
      </c>
      <c r="E18" s="185" t="s">
        <v>79</v>
      </c>
      <c r="F18" s="249"/>
      <c r="G18" s="250"/>
      <c r="H18" s="151"/>
    </row>
    <row r="19" spans="2:8" s="43" customFormat="1" ht="15" thickBot="1" x14ac:dyDescent="0.35">
      <c r="B19" s="85" t="s">
        <v>44</v>
      </c>
      <c r="C19" s="67">
        <f>SUM(C17:C18)</f>
        <v>38</v>
      </c>
      <c r="D19" s="85" t="str">
        <f xml:space="preserve"> setValueToTime(C19)</f>
        <v>3h 10 min</v>
      </c>
      <c r="E19" s="94"/>
      <c r="F19" s="239"/>
      <c r="G19" s="240"/>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1" t="s">
        <v>42</v>
      </c>
      <c r="G22" s="242"/>
      <c r="H22" s="150"/>
    </row>
    <row r="23" spans="2:8" s="43" customFormat="1" x14ac:dyDescent="0.3">
      <c r="B23" s="40" t="s">
        <v>32</v>
      </c>
      <c r="C23" s="41">
        <v>35</v>
      </c>
      <c r="D23" s="124" t="str">
        <f xml:space="preserve"> IF(C23="","",setValueToTime(C23))</f>
        <v>2h 55 min</v>
      </c>
      <c r="E23" s="182" t="s">
        <v>96</v>
      </c>
      <c r="F23" s="243"/>
      <c r="G23" s="244"/>
      <c r="H23" s="151"/>
    </row>
    <row r="24" spans="2:8" s="43" customFormat="1" ht="15" thickBot="1" x14ac:dyDescent="0.35">
      <c r="B24" s="44" t="s">
        <v>31</v>
      </c>
      <c r="C24" s="47">
        <v>3</v>
      </c>
      <c r="D24" s="127" t="str">
        <f t="shared" ref="D24" si="3" xml:space="preserve"> IF(C24="","",setValueToTime(C24))</f>
        <v xml:space="preserve"> 15 min</v>
      </c>
      <c r="E24" s="185" t="s">
        <v>79</v>
      </c>
      <c r="F24" s="249"/>
      <c r="G24" s="250"/>
      <c r="H24" s="151"/>
    </row>
    <row r="25" spans="2:8" s="43" customFormat="1" ht="15" thickBot="1" x14ac:dyDescent="0.35">
      <c r="B25" s="85" t="s">
        <v>44</v>
      </c>
      <c r="C25" s="67">
        <f>SUM(C23:C24)</f>
        <v>38</v>
      </c>
      <c r="D25" s="85" t="str">
        <f xml:space="preserve"> setValueToTime(C25)</f>
        <v>3h 10 min</v>
      </c>
      <c r="E25" s="94"/>
      <c r="F25" s="239"/>
      <c r="G25" s="240"/>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1" t="s">
        <v>42</v>
      </c>
      <c r="G28" s="242"/>
      <c r="H28" s="150"/>
    </row>
    <row r="29" spans="2:8" s="43" customFormat="1" ht="27" x14ac:dyDescent="0.3">
      <c r="B29" s="40" t="s">
        <v>72</v>
      </c>
      <c r="C29" s="41">
        <v>23</v>
      </c>
      <c r="D29" s="124" t="str">
        <f xml:space="preserve"> IF(C29="","",setValueToTime(C29))</f>
        <v>1h 55 min</v>
      </c>
      <c r="E29" s="182" t="s">
        <v>101</v>
      </c>
      <c r="F29" s="243"/>
      <c r="G29" s="244"/>
      <c r="H29" s="151"/>
    </row>
    <row r="30" spans="2:8" s="43" customFormat="1" ht="15" thickBot="1" x14ac:dyDescent="0.35">
      <c r="B30" s="44" t="s">
        <v>31</v>
      </c>
      <c r="C30" s="47">
        <v>3</v>
      </c>
      <c r="D30" s="127" t="str">
        <f t="shared" ref="D30" si="4" xml:space="preserve"> IF(C30="","",setValueToTime(C30))</f>
        <v xml:space="preserve"> 15 min</v>
      </c>
      <c r="E30" s="185" t="s">
        <v>79</v>
      </c>
      <c r="F30" s="249"/>
      <c r="G30" s="250"/>
      <c r="H30" s="151"/>
    </row>
    <row r="31" spans="2:8" s="43" customFormat="1" ht="15" thickBot="1" x14ac:dyDescent="0.35">
      <c r="B31" s="85" t="s">
        <v>44</v>
      </c>
      <c r="C31" s="67">
        <f>SUM(C29:C30)</f>
        <v>26</v>
      </c>
      <c r="D31" s="85" t="str">
        <f xml:space="preserve"> setValueToTime(C31)</f>
        <v>2h 10 min</v>
      </c>
      <c r="E31" s="94"/>
      <c r="F31" s="239"/>
      <c r="G31" s="240"/>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1" t="s">
        <v>42</v>
      </c>
      <c r="G34" s="242"/>
      <c r="H34" s="150"/>
    </row>
    <row r="35" spans="2:8" s="43" customFormat="1" ht="27" x14ac:dyDescent="0.3">
      <c r="B35" s="40" t="s">
        <v>72</v>
      </c>
      <c r="C35" s="41">
        <v>35</v>
      </c>
      <c r="D35" s="124" t="str">
        <f xml:space="preserve"> IF(C35="","",setValueToTime(C35))</f>
        <v>2h 55 min</v>
      </c>
      <c r="E35" s="182" t="s">
        <v>101</v>
      </c>
      <c r="F35" s="243"/>
      <c r="G35" s="244"/>
      <c r="H35" s="151"/>
    </row>
    <row r="36" spans="2:8" s="43" customFormat="1" ht="15" thickBot="1" x14ac:dyDescent="0.35">
      <c r="B36" s="44" t="s">
        <v>31</v>
      </c>
      <c r="C36" s="47">
        <v>3</v>
      </c>
      <c r="D36" s="127" t="str">
        <f t="shared" ref="D36" si="5" xml:space="preserve"> IF(C36="","",setValueToTime(C36))</f>
        <v xml:space="preserve"> 15 min</v>
      </c>
      <c r="E36" s="185" t="s">
        <v>79</v>
      </c>
      <c r="F36" s="249"/>
      <c r="G36" s="250"/>
      <c r="H36" s="151"/>
    </row>
    <row r="37" spans="2:8" s="43" customFormat="1" ht="15" thickBot="1" x14ac:dyDescent="0.35">
      <c r="B37" s="85" t="s">
        <v>44</v>
      </c>
      <c r="C37" s="67">
        <f>SUM(C35:C36)</f>
        <v>38</v>
      </c>
      <c r="D37" s="85" t="str">
        <f xml:space="preserve"> setValueToTime(C37)</f>
        <v>3h 10 min</v>
      </c>
      <c r="E37" s="94"/>
      <c r="F37" s="239"/>
      <c r="G37" s="240"/>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1" t="s">
        <v>42</v>
      </c>
      <c r="G40" s="242"/>
      <c r="H40" s="150"/>
    </row>
    <row r="41" spans="2:8" s="43" customFormat="1" x14ac:dyDescent="0.3">
      <c r="B41" s="40" t="s">
        <v>32</v>
      </c>
      <c r="C41" s="41">
        <v>35</v>
      </c>
      <c r="D41" s="124" t="str">
        <f xml:space="preserve"> IF(C41="","",setValueToTime(C41))</f>
        <v>2h 55 min</v>
      </c>
      <c r="E41" s="182" t="s">
        <v>96</v>
      </c>
      <c r="F41" s="243"/>
      <c r="G41" s="244"/>
      <c r="H41" s="151"/>
    </row>
    <row r="42" spans="2:8" s="43" customFormat="1" ht="15" thickBot="1" x14ac:dyDescent="0.35">
      <c r="B42" s="44" t="s">
        <v>31</v>
      </c>
      <c r="C42" s="47">
        <v>3</v>
      </c>
      <c r="D42" s="127" t="str">
        <f t="shared" ref="D42" si="6" xml:space="preserve"> IF(C42="","",setValueToTime(C42))</f>
        <v xml:space="preserve"> 15 min</v>
      </c>
      <c r="E42" s="185" t="s">
        <v>79</v>
      </c>
      <c r="F42" s="249"/>
      <c r="G42" s="250"/>
      <c r="H42" s="151"/>
    </row>
    <row r="43" spans="2:8" s="43" customFormat="1" ht="15" thickBot="1" x14ac:dyDescent="0.35">
      <c r="B43" s="85" t="s">
        <v>44</v>
      </c>
      <c r="C43" s="67">
        <f>SUM(C41:C42)</f>
        <v>38</v>
      </c>
      <c r="D43" s="85" t="str">
        <f xml:space="preserve"> setValueToTime(C43)</f>
        <v>3h 10 min</v>
      </c>
      <c r="E43" s="94"/>
      <c r="F43" s="239"/>
      <c r="G43" s="240"/>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1" t="s">
        <v>42</v>
      </c>
      <c r="G46" s="242"/>
      <c r="H46" s="150"/>
    </row>
    <row r="47" spans="2:8" s="43" customFormat="1" x14ac:dyDescent="0.3">
      <c r="B47" s="40" t="s">
        <v>32</v>
      </c>
      <c r="C47" s="41">
        <v>45</v>
      </c>
      <c r="D47" s="124" t="str">
        <f xml:space="preserve"> IF(C47="","",setValueToTime(C47))</f>
        <v>3h 45 min</v>
      </c>
      <c r="E47" s="182" t="s">
        <v>96</v>
      </c>
      <c r="F47" s="243"/>
      <c r="G47" s="244"/>
      <c r="H47" s="151"/>
    </row>
    <row r="48" spans="2:8" s="43" customFormat="1" ht="15" thickBot="1" x14ac:dyDescent="0.35">
      <c r="B48" s="44" t="s">
        <v>31</v>
      </c>
      <c r="C48" s="47">
        <v>3</v>
      </c>
      <c r="D48" s="127" t="str">
        <f t="shared" ref="D48" si="7" xml:space="preserve"> IF(C48="","",setValueToTime(C48))</f>
        <v xml:space="preserve"> 15 min</v>
      </c>
      <c r="E48" s="185" t="s">
        <v>79</v>
      </c>
      <c r="F48" s="249"/>
      <c r="G48" s="250"/>
      <c r="H48" s="151"/>
    </row>
    <row r="49" spans="2:8" s="43" customFormat="1" ht="15" thickBot="1" x14ac:dyDescent="0.35">
      <c r="B49" s="85" t="s">
        <v>44</v>
      </c>
      <c r="C49" s="67">
        <f>SUM(C47:C48)</f>
        <v>48</v>
      </c>
      <c r="D49" s="85" t="str">
        <f xml:space="preserve"> setValueToTime(C49)</f>
        <v>4h</v>
      </c>
      <c r="E49" s="94"/>
      <c r="F49" s="239"/>
      <c r="G49" s="240"/>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1" t="s">
        <v>42</v>
      </c>
      <c r="G52" s="242"/>
      <c r="H52" s="150"/>
    </row>
    <row r="53" spans="2:8" s="43" customFormat="1" ht="27" x14ac:dyDescent="0.3">
      <c r="B53" s="40" t="s">
        <v>72</v>
      </c>
      <c r="C53" s="41">
        <v>35</v>
      </c>
      <c r="D53" s="124" t="str">
        <f xml:space="preserve"> IF(C53="","",setValueToTime(C53))</f>
        <v>2h 55 min</v>
      </c>
      <c r="E53" s="182" t="s">
        <v>101</v>
      </c>
      <c r="F53" s="243"/>
      <c r="G53" s="244"/>
      <c r="H53" s="151"/>
    </row>
    <row r="54" spans="2:8" s="43" customFormat="1" ht="15" thickBot="1" x14ac:dyDescent="0.35">
      <c r="B54" s="44" t="s">
        <v>31</v>
      </c>
      <c r="C54" s="47">
        <v>3</v>
      </c>
      <c r="D54" s="127" t="str">
        <f t="shared" ref="D54" si="8" xml:space="preserve"> IF(C54="","",setValueToTime(C54))</f>
        <v xml:space="preserve"> 15 min</v>
      </c>
      <c r="E54" s="185" t="s">
        <v>79</v>
      </c>
      <c r="F54" s="249"/>
      <c r="G54" s="250"/>
      <c r="H54" s="151"/>
    </row>
    <row r="55" spans="2:8" s="43" customFormat="1" ht="15" thickBot="1" x14ac:dyDescent="0.35">
      <c r="B55" s="85" t="s">
        <v>44</v>
      </c>
      <c r="C55" s="67">
        <f>SUM(C53:C54)</f>
        <v>38</v>
      </c>
      <c r="D55" s="85" t="str">
        <f xml:space="preserve"> setValueToTime(C55)</f>
        <v>3h 10 min</v>
      </c>
      <c r="E55" s="94"/>
      <c r="F55" s="239"/>
      <c r="G55" s="240"/>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1" t="s">
        <v>42</v>
      </c>
      <c r="G58" s="242"/>
      <c r="H58" s="150"/>
    </row>
    <row r="59" spans="2:8" s="43" customFormat="1" ht="27" x14ac:dyDescent="0.3">
      <c r="B59" s="40" t="s">
        <v>72</v>
      </c>
      <c r="C59" s="41">
        <v>45</v>
      </c>
      <c r="D59" s="124" t="str">
        <f xml:space="preserve"> IF(C59="","",setValueToTime(C59))</f>
        <v>3h 45 min</v>
      </c>
      <c r="E59" s="182" t="s">
        <v>101</v>
      </c>
      <c r="F59" s="243"/>
      <c r="G59" s="244"/>
      <c r="H59" s="151"/>
    </row>
    <row r="60" spans="2:8" s="43" customFormat="1" ht="15" thickBot="1" x14ac:dyDescent="0.35">
      <c r="B60" s="44" t="s">
        <v>31</v>
      </c>
      <c r="C60" s="47">
        <v>3</v>
      </c>
      <c r="D60" s="127" t="str">
        <f t="shared" ref="D60" si="9" xml:space="preserve"> IF(C60="","",setValueToTime(C60))</f>
        <v xml:space="preserve"> 15 min</v>
      </c>
      <c r="E60" s="185" t="s">
        <v>79</v>
      </c>
      <c r="F60" s="249"/>
      <c r="G60" s="250"/>
      <c r="H60" s="151"/>
    </row>
    <row r="61" spans="2:8" s="43" customFormat="1" ht="15" thickBot="1" x14ac:dyDescent="0.35">
      <c r="B61" s="85" t="s">
        <v>44</v>
      </c>
      <c r="C61" s="67">
        <f>SUM(C59:C60)</f>
        <v>48</v>
      </c>
      <c r="D61" s="85" t="str">
        <f xml:space="preserve"> setValueToTime(C61)</f>
        <v>4h</v>
      </c>
      <c r="E61" s="94"/>
      <c r="F61" s="239"/>
      <c r="G61" s="240"/>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1" t="s">
        <v>42</v>
      </c>
      <c r="G64" s="242"/>
      <c r="H64" s="150"/>
    </row>
    <row r="65" spans="2:8" s="43" customFormat="1" ht="27" x14ac:dyDescent="0.3">
      <c r="B65" s="40" t="s">
        <v>51</v>
      </c>
      <c r="C65" s="41">
        <v>18</v>
      </c>
      <c r="D65" s="124" t="str">
        <f xml:space="preserve"> IF(C65="","",setValueToTime(C65))</f>
        <v>1h 30 min</v>
      </c>
      <c r="E65" s="182" t="s">
        <v>100</v>
      </c>
      <c r="F65" s="243"/>
      <c r="G65" s="244"/>
      <c r="H65" s="151"/>
    </row>
    <row r="66" spans="2:8" s="43" customFormat="1" ht="27" x14ac:dyDescent="0.3">
      <c r="B66" s="44" t="s">
        <v>72</v>
      </c>
      <c r="C66" s="45">
        <v>17</v>
      </c>
      <c r="D66" s="125" t="str">
        <f xml:space="preserve"> IF(C66="","",setValueToTime(C66))</f>
        <v>1h 25 min</v>
      </c>
      <c r="E66" s="183" t="s">
        <v>101</v>
      </c>
      <c r="F66" s="245"/>
      <c r="G66" s="246"/>
      <c r="H66" s="151"/>
    </row>
    <row r="67" spans="2:8" s="43" customFormat="1" ht="15" thickBot="1" x14ac:dyDescent="0.35">
      <c r="B67" s="44" t="s">
        <v>31</v>
      </c>
      <c r="C67" s="47">
        <v>3</v>
      </c>
      <c r="D67" s="127" t="str">
        <f t="shared" ref="D67" si="10" xml:space="preserve"> IF(C67="","",setValueToTime(C67))</f>
        <v xml:space="preserve"> 15 min</v>
      </c>
      <c r="E67" s="185" t="s">
        <v>79</v>
      </c>
      <c r="F67" s="249"/>
      <c r="G67" s="250"/>
      <c r="H67" s="151"/>
    </row>
    <row r="68" spans="2:8" s="43" customFormat="1" ht="15" thickBot="1" x14ac:dyDescent="0.35">
      <c r="B68" s="85" t="s">
        <v>44</v>
      </c>
      <c r="C68" s="67">
        <f>SUM(C65:C67)</f>
        <v>38</v>
      </c>
      <c r="D68" s="85" t="str">
        <f xml:space="preserve"> setValueToTime(C68)</f>
        <v>3h 10 min</v>
      </c>
      <c r="E68" s="94"/>
      <c r="F68" s="239"/>
      <c r="G68" s="240"/>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1" t="s">
        <v>42</v>
      </c>
      <c r="G71" s="242"/>
      <c r="H71" s="150"/>
    </row>
    <row r="72" spans="2:8" s="43" customFormat="1" x14ac:dyDescent="0.3">
      <c r="B72" s="44" t="s">
        <v>50</v>
      </c>
      <c r="C72" s="45">
        <v>35</v>
      </c>
      <c r="D72" s="126" t="str">
        <f t="shared" ref="D72:D73" si="11" xml:space="preserve"> IF(C72="","",setValueToTime(C72))</f>
        <v>2h 55 min</v>
      </c>
      <c r="E72" s="183" t="s">
        <v>99</v>
      </c>
      <c r="F72" s="245"/>
      <c r="G72" s="246"/>
      <c r="H72" s="151"/>
    </row>
    <row r="73" spans="2:8" s="43" customFormat="1" ht="15" thickBot="1" x14ac:dyDescent="0.35">
      <c r="B73" s="44" t="s">
        <v>31</v>
      </c>
      <c r="C73" s="47">
        <v>3</v>
      </c>
      <c r="D73" s="127" t="str">
        <f t="shared" si="11"/>
        <v xml:space="preserve"> 15 min</v>
      </c>
      <c r="E73" s="185" t="s">
        <v>79</v>
      </c>
      <c r="F73" s="249"/>
      <c r="G73" s="250"/>
      <c r="H73" s="151"/>
    </row>
    <row r="74" spans="2:8" s="43" customFormat="1" ht="15" thickBot="1" x14ac:dyDescent="0.35">
      <c r="B74" s="85" t="s">
        <v>44</v>
      </c>
      <c r="C74" s="67">
        <f>SUM(C72:C73)</f>
        <v>38</v>
      </c>
      <c r="D74" s="85" t="str">
        <f xml:space="preserve"> setValueToTime(C74)</f>
        <v>3h 10 min</v>
      </c>
      <c r="E74" s="94"/>
      <c r="F74" s="239"/>
      <c r="G74" s="240"/>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1" t="s">
        <v>42</v>
      </c>
      <c r="G77" s="242"/>
      <c r="H77" s="150"/>
    </row>
    <row r="78" spans="2:8" s="43" customFormat="1" x14ac:dyDescent="0.3">
      <c r="B78" s="44" t="s">
        <v>32</v>
      </c>
      <c r="C78" s="45">
        <v>35</v>
      </c>
      <c r="D78" s="126" t="str">
        <f t="shared" ref="D78:D79" si="12" xml:space="preserve"> IF(C78="","",setValueToTime(C78))</f>
        <v>2h 55 min</v>
      </c>
      <c r="E78" s="183" t="s">
        <v>96</v>
      </c>
      <c r="F78" s="245"/>
      <c r="G78" s="246"/>
      <c r="H78" s="151"/>
    </row>
    <row r="79" spans="2:8" s="43" customFormat="1" ht="15" thickBot="1" x14ac:dyDescent="0.35">
      <c r="B79" s="44" t="s">
        <v>31</v>
      </c>
      <c r="C79" s="47">
        <v>3</v>
      </c>
      <c r="D79" s="127" t="str">
        <f t="shared" si="12"/>
        <v xml:space="preserve"> 15 min</v>
      </c>
      <c r="E79" s="185" t="s">
        <v>79</v>
      </c>
      <c r="F79" s="249"/>
      <c r="G79" s="250"/>
      <c r="H79" s="151"/>
    </row>
    <row r="80" spans="2:8" s="43" customFormat="1" ht="15" thickBot="1" x14ac:dyDescent="0.35">
      <c r="B80" s="85" t="s">
        <v>44</v>
      </c>
      <c r="C80" s="67">
        <f>SUM(C78:C79)</f>
        <v>38</v>
      </c>
      <c r="D80" s="85" t="str">
        <f xml:space="preserve"> setValueToTime(C80)</f>
        <v>3h 10 min</v>
      </c>
      <c r="E80" s="94"/>
      <c r="F80" s="239"/>
      <c r="G80" s="240"/>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1" t="s">
        <v>42</v>
      </c>
      <c r="G83" s="242"/>
      <c r="H83" s="150"/>
    </row>
    <row r="84" spans="2:8" s="43" customFormat="1" x14ac:dyDescent="0.3">
      <c r="B84" s="40" t="s">
        <v>32</v>
      </c>
      <c r="C84" s="41">
        <v>23</v>
      </c>
      <c r="D84" s="124" t="str">
        <f xml:space="preserve"> IF(C84="","",setValueToTime(C84))</f>
        <v>1h 55 min</v>
      </c>
      <c r="E84" s="182" t="s">
        <v>96</v>
      </c>
      <c r="F84" s="243"/>
      <c r="G84" s="244"/>
      <c r="H84" s="151"/>
    </row>
    <row r="85" spans="2:8" s="43" customFormat="1" ht="15" thickBot="1" x14ac:dyDescent="0.35">
      <c r="B85" s="44" t="s">
        <v>31</v>
      </c>
      <c r="C85" s="47">
        <v>3</v>
      </c>
      <c r="D85" s="127" t="str">
        <f t="shared" ref="D85" si="13" xml:space="preserve"> IF(C85="","",setValueToTime(C85))</f>
        <v xml:space="preserve"> 15 min</v>
      </c>
      <c r="E85" s="185" t="s">
        <v>79</v>
      </c>
      <c r="F85" s="249"/>
      <c r="G85" s="250"/>
      <c r="H85" s="151"/>
    </row>
    <row r="86" spans="2:8" s="43" customFormat="1" ht="15" thickBot="1" x14ac:dyDescent="0.35">
      <c r="B86" s="85" t="s">
        <v>44</v>
      </c>
      <c r="C86" s="67">
        <f>SUM(C84:C85)</f>
        <v>26</v>
      </c>
      <c r="D86" s="85" t="str">
        <f xml:space="preserve"> setValueToTime(C86)</f>
        <v>2h 10 min</v>
      </c>
      <c r="E86" s="94"/>
      <c r="F86" s="239"/>
      <c r="G86" s="240"/>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1" t="s">
        <v>42</v>
      </c>
      <c r="G89" s="242"/>
      <c r="H89" s="150"/>
    </row>
    <row r="90" spans="2:8" s="43" customFormat="1" x14ac:dyDescent="0.3">
      <c r="B90" s="40" t="s">
        <v>32</v>
      </c>
      <c r="C90" s="41">
        <v>35</v>
      </c>
      <c r="D90" s="124" t="str">
        <f xml:space="preserve"> IF(C90="","",setValueToTime(C90))</f>
        <v>2h 55 min</v>
      </c>
      <c r="E90" s="182" t="s">
        <v>96</v>
      </c>
      <c r="F90" s="243"/>
      <c r="G90" s="244"/>
      <c r="H90" s="151"/>
    </row>
    <row r="91" spans="2:8" s="43" customFormat="1" ht="15" thickBot="1" x14ac:dyDescent="0.35">
      <c r="B91" s="44" t="s">
        <v>31</v>
      </c>
      <c r="C91" s="47">
        <v>3</v>
      </c>
      <c r="D91" s="127" t="str">
        <f t="shared" ref="D91" si="14" xml:space="preserve"> IF(C91="","",setValueToTime(C91))</f>
        <v xml:space="preserve"> 15 min</v>
      </c>
      <c r="E91" s="185" t="s">
        <v>79</v>
      </c>
      <c r="F91" s="249"/>
      <c r="G91" s="250"/>
      <c r="H91" s="151"/>
    </row>
    <row r="92" spans="2:8" s="43" customFormat="1" ht="15" thickBot="1" x14ac:dyDescent="0.35">
      <c r="B92" s="85" t="s">
        <v>44</v>
      </c>
      <c r="C92" s="67">
        <f>SUM(C90:C91)</f>
        <v>38</v>
      </c>
      <c r="D92" s="85" t="str">
        <f xml:space="preserve"> setValueToTime(C92)</f>
        <v>3h 10 min</v>
      </c>
      <c r="E92" s="94"/>
      <c r="F92" s="239"/>
      <c r="G92" s="240"/>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1" t="s">
        <v>42</v>
      </c>
      <c r="G95" s="242"/>
      <c r="H95" s="150"/>
    </row>
    <row r="96" spans="2:8" s="43" customFormat="1" x14ac:dyDescent="0.3">
      <c r="B96" s="40" t="s">
        <v>32</v>
      </c>
      <c r="C96" s="41">
        <v>35</v>
      </c>
      <c r="D96" s="124" t="str">
        <f xml:space="preserve"> IF(C96="","",setValueToTime(C96))</f>
        <v>2h 55 min</v>
      </c>
      <c r="E96" s="182" t="s">
        <v>96</v>
      </c>
      <c r="F96" s="243"/>
      <c r="G96" s="244"/>
      <c r="H96" s="151"/>
    </row>
    <row r="97" spans="2:8" s="43" customFormat="1" ht="15" thickBot="1" x14ac:dyDescent="0.35">
      <c r="B97" s="44" t="s">
        <v>31</v>
      </c>
      <c r="C97" s="47">
        <v>3</v>
      </c>
      <c r="D97" s="127" t="str">
        <f t="shared" ref="D97" si="15" xml:space="preserve"> IF(C97="","",setValueToTime(C97))</f>
        <v xml:space="preserve"> 15 min</v>
      </c>
      <c r="E97" s="185" t="s">
        <v>79</v>
      </c>
      <c r="F97" s="249"/>
      <c r="G97" s="250"/>
      <c r="H97" s="151"/>
    </row>
    <row r="98" spans="2:8" s="43" customFormat="1" ht="15" thickBot="1" x14ac:dyDescent="0.35">
      <c r="B98" s="85" t="s">
        <v>44</v>
      </c>
      <c r="C98" s="67">
        <f>SUM(C96:C97)</f>
        <v>38</v>
      </c>
      <c r="D98" s="85" t="str">
        <f xml:space="preserve"> setValueToTime(C98)</f>
        <v>3h 10 min</v>
      </c>
      <c r="E98" s="94"/>
      <c r="F98" s="239"/>
      <c r="G98" s="240"/>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1" t="s">
        <v>42</v>
      </c>
      <c r="G101" s="242"/>
      <c r="H101" s="150"/>
    </row>
    <row r="102" spans="2:8" s="43" customFormat="1" x14ac:dyDescent="0.3">
      <c r="B102" s="40" t="s">
        <v>32</v>
      </c>
      <c r="C102" s="41">
        <v>45</v>
      </c>
      <c r="D102" s="124" t="str">
        <f xml:space="preserve"> IF(C102="","",setValueToTime(C102))</f>
        <v>3h 45 min</v>
      </c>
      <c r="E102" s="182" t="s">
        <v>97</v>
      </c>
      <c r="F102" s="243"/>
      <c r="G102" s="244"/>
      <c r="H102" s="151"/>
    </row>
    <row r="103" spans="2:8" s="43" customFormat="1" ht="15" thickBot="1" x14ac:dyDescent="0.35">
      <c r="B103" s="44" t="s">
        <v>31</v>
      </c>
      <c r="C103" s="47">
        <v>3</v>
      </c>
      <c r="D103" s="127" t="str">
        <f t="shared" ref="D103" si="16" xml:space="preserve"> IF(C103="","",setValueToTime(C103))</f>
        <v xml:space="preserve"> 15 min</v>
      </c>
      <c r="E103" s="185" t="s">
        <v>79</v>
      </c>
      <c r="F103" s="249"/>
      <c r="G103" s="250"/>
      <c r="H103" s="151"/>
    </row>
    <row r="104" spans="2:8" s="43" customFormat="1" ht="15" thickBot="1" x14ac:dyDescent="0.35">
      <c r="B104" s="85" t="s">
        <v>44</v>
      </c>
      <c r="C104" s="67">
        <f>SUM(C102:C103)</f>
        <v>48</v>
      </c>
      <c r="D104" s="85" t="str">
        <f xml:space="preserve"> setValueToTime(C104)</f>
        <v>4h</v>
      </c>
      <c r="E104" s="94"/>
      <c r="F104" s="239"/>
      <c r="G104" s="240"/>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1" t="s">
        <v>42</v>
      </c>
      <c r="G107" s="242"/>
      <c r="H107" s="150"/>
    </row>
    <row r="108" spans="2:8" s="43" customFormat="1" x14ac:dyDescent="0.3">
      <c r="B108" s="40" t="s">
        <v>34</v>
      </c>
      <c r="C108" s="41">
        <v>35</v>
      </c>
      <c r="D108" s="124" t="str">
        <f xml:space="preserve"> IF(C108="","",setValueToTime(C108))</f>
        <v>2h 55 min</v>
      </c>
      <c r="E108" s="182" t="s">
        <v>93</v>
      </c>
      <c r="F108" s="243"/>
      <c r="G108" s="244"/>
      <c r="H108" s="151"/>
    </row>
    <row r="109" spans="2:8" s="43" customFormat="1" ht="15" thickBot="1" x14ac:dyDescent="0.35">
      <c r="B109" s="44" t="s">
        <v>31</v>
      </c>
      <c r="C109" s="47">
        <v>3</v>
      </c>
      <c r="D109" s="127" t="str">
        <f t="shared" ref="D109" si="17" xml:space="preserve"> IF(C109="","",setValueToTime(C109))</f>
        <v xml:space="preserve"> 15 min</v>
      </c>
      <c r="E109" s="185" t="s">
        <v>79</v>
      </c>
      <c r="F109" s="249"/>
      <c r="G109" s="250"/>
      <c r="H109" s="151"/>
    </row>
    <row r="110" spans="2:8" s="43" customFormat="1" ht="15" thickBot="1" x14ac:dyDescent="0.35">
      <c r="B110" s="85" t="s">
        <v>44</v>
      </c>
      <c r="C110" s="67">
        <f>SUM(C108:C109)</f>
        <v>38</v>
      </c>
      <c r="D110" s="85" t="str">
        <f xml:space="preserve"> setValueToTime(C110)</f>
        <v>3h 10 min</v>
      </c>
      <c r="E110" s="94"/>
      <c r="F110" s="239"/>
      <c r="G110" s="240"/>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1" t="s">
        <v>42</v>
      </c>
      <c r="G113" s="242"/>
      <c r="H113" s="150"/>
    </row>
    <row r="114" spans="2:8" s="43" customFormat="1" ht="27" x14ac:dyDescent="0.3">
      <c r="B114" s="40" t="s">
        <v>60</v>
      </c>
      <c r="C114" s="41">
        <v>45</v>
      </c>
      <c r="D114" s="124" t="str">
        <f xml:space="preserve"> IF(C114="","",setValueToTime(C114))</f>
        <v>3h 45 min</v>
      </c>
      <c r="E114" s="182" t="s">
        <v>92</v>
      </c>
      <c r="F114" s="243"/>
      <c r="G114" s="244"/>
      <c r="H114" s="151"/>
    </row>
    <row r="115" spans="2:8" s="43" customFormat="1" ht="15" thickBot="1" x14ac:dyDescent="0.35">
      <c r="B115" s="44" t="s">
        <v>31</v>
      </c>
      <c r="C115" s="47">
        <v>3</v>
      </c>
      <c r="D115" s="127" t="str">
        <f t="shared" ref="D115" si="18" xml:space="preserve"> IF(C115="","",setValueToTime(C115))</f>
        <v xml:space="preserve"> 15 min</v>
      </c>
      <c r="E115" s="185" t="s">
        <v>79</v>
      </c>
      <c r="F115" s="249"/>
      <c r="G115" s="250"/>
      <c r="H115" s="151"/>
    </row>
    <row r="116" spans="2:8" s="43" customFormat="1" ht="15" thickBot="1" x14ac:dyDescent="0.35">
      <c r="B116" s="85" t="s">
        <v>44</v>
      </c>
      <c r="C116" s="67">
        <f>SUM(C114:C115)</f>
        <v>48</v>
      </c>
      <c r="D116" s="85" t="str">
        <f xml:space="preserve"> setValueToTime(C116)</f>
        <v>4h</v>
      </c>
      <c r="E116" s="94"/>
      <c r="F116" s="239"/>
      <c r="G116" s="240"/>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1" t="s">
        <v>42</v>
      </c>
      <c r="G119" s="242"/>
      <c r="H119" s="150"/>
    </row>
    <row r="120" spans="2:8" s="43" customFormat="1" ht="27" x14ac:dyDescent="0.3">
      <c r="B120" s="40" t="s">
        <v>59</v>
      </c>
      <c r="C120" s="41">
        <v>8</v>
      </c>
      <c r="D120" s="124" t="str">
        <f xml:space="preserve"> IF(C120="","",setValueToTime(C120))</f>
        <v xml:space="preserve"> 40 min</v>
      </c>
      <c r="E120" s="182" t="s">
        <v>90</v>
      </c>
      <c r="F120" s="243"/>
      <c r="G120" s="244"/>
      <c r="H120" s="151"/>
    </row>
    <row r="121" spans="2:8" s="43" customFormat="1" ht="27" x14ac:dyDescent="0.3">
      <c r="B121" s="44" t="s">
        <v>60</v>
      </c>
      <c r="C121" s="45">
        <v>27</v>
      </c>
      <c r="D121" s="125" t="str">
        <f t="shared" ref="D121:D122" si="19" xml:space="preserve"> IF(C121="","",setValueToTime(C121))</f>
        <v>2h 15 min</v>
      </c>
      <c r="E121" s="183" t="s">
        <v>91</v>
      </c>
      <c r="F121" s="245"/>
      <c r="G121" s="246"/>
      <c r="H121" s="151"/>
    </row>
    <row r="122" spans="2:8" s="43" customFormat="1" ht="15" thickBot="1" x14ac:dyDescent="0.35">
      <c r="B122" s="44" t="s">
        <v>31</v>
      </c>
      <c r="C122" s="47">
        <v>3</v>
      </c>
      <c r="D122" s="127" t="str">
        <f t="shared" si="19"/>
        <v xml:space="preserve"> 15 min</v>
      </c>
      <c r="E122" s="185" t="s">
        <v>79</v>
      </c>
      <c r="F122" s="249"/>
      <c r="G122" s="250"/>
      <c r="H122" s="151"/>
    </row>
    <row r="123" spans="2:8" s="43" customFormat="1" ht="15" thickBot="1" x14ac:dyDescent="0.35">
      <c r="B123" s="85" t="s">
        <v>44</v>
      </c>
      <c r="C123" s="67">
        <f>SUM(C120:C122)</f>
        <v>38</v>
      </c>
      <c r="D123" s="85" t="str">
        <f xml:space="preserve"> setValueToTime(C123)</f>
        <v>3h 10 min</v>
      </c>
      <c r="E123" s="94"/>
      <c r="F123" s="239"/>
      <c r="G123" s="240"/>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1" t="s">
        <v>42</v>
      </c>
      <c r="G126" s="242"/>
      <c r="H126" s="150"/>
    </row>
    <row r="127" spans="2:8" s="43" customFormat="1" ht="27" x14ac:dyDescent="0.3">
      <c r="B127" s="40" t="s">
        <v>58</v>
      </c>
      <c r="C127" s="41">
        <v>31</v>
      </c>
      <c r="D127" s="124" t="str">
        <f xml:space="preserve"> IF(C127="","",setValueToTime(C127))</f>
        <v>2h 35 min</v>
      </c>
      <c r="E127" s="182" t="s">
        <v>88</v>
      </c>
      <c r="F127" s="243"/>
      <c r="G127" s="244"/>
      <c r="H127" s="151"/>
    </row>
    <row r="128" spans="2:8" s="43" customFormat="1" ht="27" x14ac:dyDescent="0.3">
      <c r="B128" s="44" t="s">
        <v>59</v>
      </c>
      <c r="C128" s="45">
        <v>4</v>
      </c>
      <c r="D128" s="125" t="str">
        <f t="shared" ref="D128:D129" si="20" xml:space="preserve"> IF(C128="","",setValueToTime(C128))</f>
        <v xml:space="preserve"> 20 min</v>
      </c>
      <c r="E128" s="183" t="s">
        <v>89</v>
      </c>
      <c r="F128" s="245"/>
      <c r="G128" s="246"/>
      <c r="H128" s="151"/>
    </row>
    <row r="129" spans="2:8" s="43" customFormat="1" ht="15" thickBot="1" x14ac:dyDescent="0.35">
      <c r="B129" s="44" t="s">
        <v>31</v>
      </c>
      <c r="C129" s="47">
        <v>3</v>
      </c>
      <c r="D129" s="127" t="str">
        <f t="shared" si="20"/>
        <v xml:space="preserve"> 15 min</v>
      </c>
      <c r="E129" s="185" t="s">
        <v>79</v>
      </c>
      <c r="F129" s="249"/>
      <c r="G129" s="250"/>
      <c r="H129" s="151"/>
    </row>
    <row r="130" spans="2:8" s="43" customFormat="1" ht="15" thickBot="1" x14ac:dyDescent="0.35">
      <c r="B130" s="85" t="s">
        <v>44</v>
      </c>
      <c r="C130" s="67">
        <f>SUM(C127:C129)</f>
        <v>38</v>
      </c>
      <c r="D130" s="85" t="str">
        <f xml:space="preserve"> setValueToTime(C130)</f>
        <v>3h 10 min</v>
      </c>
      <c r="E130" s="94"/>
      <c r="F130" s="239"/>
      <c r="G130" s="240"/>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1" t="s">
        <v>42</v>
      </c>
      <c r="G133" s="242"/>
      <c r="H133" s="150"/>
    </row>
    <row r="134" spans="2:8" s="43" customFormat="1" ht="27" x14ac:dyDescent="0.3">
      <c r="B134" s="40" t="s">
        <v>57</v>
      </c>
      <c r="C134" s="41">
        <v>18</v>
      </c>
      <c r="D134" s="124" t="str">
        <f xml:space="preserve"> IF(C134="","",setValueToTime(C134))</f>
        <v>1h 30 min</v>
      </c>
      <c r="E134" s="182" t="s">
        <v>86</v>
      </c>
      <c r="F134" s="243"/>
      <c r="G134" s="244"/>
      <c r="H134" s="151"/>
    </row>
    <row r="135" spans="2:8" s="43" customFormat="1" ht="27" x14ac:dyDescent="0.3">
      <c r="B135" s="44" t="s">
        <v>58</v>
      </c>
      <c r="C135" s="45">
        <v>17</v>
      </c>
      <c r="D135" s="125" t="str">
        <f t="shared" ref="D135:D136" si="21" xml:space="preserve"> IF(C135="","",setValueToTime(C135))</f>
        <v>1h 25 min</v>
      </c>
      <c r="E135" s="183" t="s">
        <v>87</v>
      </c>
      <c r="F135" s="245"/>
      <c r="G135" s="246"/>
      <c r="H135" s="151"/>
    </row>
    <row r="136" spans="2:8" s="43" customFormat="1" ht="15" thickBot="1" x14ac:dyDescent="0.35">
      <c r="B136" s="44" t="s">
        <v>31</v>
      </c>
      <c r="C136" s="47">
        <v>3</v>
      </c>
      <c r="D136" s="127" t="str">
        <f t="shared" si="21"/>
        <v xml:space="preserve"> 15 min</v>
      </c>
      <c r="E136" s="185" t="s">
        <v>79</v>
      </c>
      <c r="F136" s="249"/>
      <c r="G136" s="250"/>
      <c r="H136" s="151"/>
    </row>
    <row r="137" spans="2:8" s="43" customFormat="1" ht="15" thickBot="1" x14ac:dyDescent="0.35">
      <c r="B137" s="85" t="s">
        <v>44</v>
      </c>
      <c r="C137" s="67">
        <f>SUM(C134:C136)</f>
        <v>38</v>
      </c>
      <c r="D137" s="85" t="str">
        <f xml:space="preserve"> setValueToTime(C137)</f>
        <v>3h 10 min</v>
      </c>
      <c r="E137" s="94"/>
      <c r="F137" s="239"/>
      <c r="G137" s="240"/>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1" t="s">
        <v>42</v>
      </c>
      <c r="G140" s="242"/>
      <c r="H140" s="150"/>
    </row>
    <row r="141" spans="2:8" s="43" customFormat="1" x14ac:dyDescent="0.3">
      <c r="B141" s="40" t="s">
        <v>33</v>
      </c>
      <c r="C141" s="41">
        <v>17</v>
      </c>
      <c r="D141" s="124" t="str">
        <f xml:space="preserve"> IF(C141="","",setValueToTime(C141))</f>
        <v>1h 25 min</v>
      </c>
      <c r="E141" s="182" t="s">
        <v>95</v>
      </c>
      <c r="F141" s="243"/>
      <c r="G141" s="244"/>
      <c r="H141" s="151"/>
    </row>
    <row r="142" spans="2:8" s="43" customFormat="1" ht="27" x14ac:dyDescent="0.3">
      <c r="B142" s="44" t="s">
        <v>57</v>
      </c>
      <c r="C142" s="45">
        <v>6</v>
      </c>
      <c r="D142" s="125" t="str">
        <f xml:space="preserve"> IF(C142="","",setValueToTime(C142))</f>
        <v xml:space="preserve"> 30 min</v>
      </c>
      <c r="E142" s="183" t="s">
        <v>85</v>
      </c>
      <c r="F142" s="245"/>
      <c r="G142" s="246"/>
      <c r="H142" s="151"/>
    </row>
    <row r="143" spans="2:8" s="43" customFormat="1" ht="15" thickBot="1" x14ac:dyDescent="0.35">
      <c r="B143" s="44" t="s">
        <v>31</v>
      </c>
      <c r="C143" s="45">
        <v>3</v>
      </c>
      <c r="D143" s="125" t="str">
        <f t="shared" ref="D143" si="22" xml:space="preserve"> IF(C143="","",setValueToTime(C143))</f>
        <v xml:space="preserve"> 15 min</v>
      </c>
      <c r="E143" s="183" t="s">
        <v>79</v>
      </c>
      <c r="F143" s="245"/>
      <c r="G143" s="246"/>
      <c r="H143" s="151"/>
    </row>
    <row r="144" spans="2:8" s="43" customFormat="1" ht="15" thickBot="1" x14ac:dyDescent="0.35">
      <c r="B144" s="85" t="s">
        <v>44</v>
      </c>
      <c r="C144" s="67">
        <f>SUM(C141:C143)</f>
        <v>26</v>
      </c>
      <c r="D144" s="85" t="str">
        <f xml:space="preserve"> setValueToTime(C144)</f>
        <v>2h 10 min</v>
      </c>
      <c r="E144" s="94"/>
      <c r="F144" s="239"/>
      <c r="G144" s="240"/>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1" t="s">
        <v>42</v>
      </c>
      <c r="G147" s="242"/>
      <c r="H147" s="150"/>
    </row>
    <row r="148" spans="2:8" s="43" customFormat="1" x14ac:dyDescent="0.3">
      <c r="B148" s="40" t="s">
        <v>55</v>
      </c>
      <c r="C148" s="41">
        <v>10</v>
      </c>
      <c r="D148" s="124" t="str">
        <f xml:space="preserve"> IF(C148="","",setValueToTime(C148))</f>
        <v xml:space="preserve"> 50 min</v>
      </c>
      <c r="E148" s="182" t="s">
        <v>81</v>
      </c>
      <c r="F148" s="243"/>
      <c r="G148" s="244"/>
      <c r="H148" s="151"/>
    </row>
    <row r="149" spans="2:8" s="43" customFormat="1" ht="27" x14ac:dyDescent="0.3">
      <c r="B149" s="44" t="s">
        <v>49</v>
      </c>
      <c r="C149" s="45">
        <v>12</v>
      </c>
      <c r="D149" s="125" t="str">
        <f xml:space="preserve"> IF(C149="","",setValueToTime(C149))</f>
        <v>1h</v>
      </c>
      <c r="E149" s="183" t="s">
        <v>82</v>
      </c>
      <c r="F149" s="245"/>
      <c r="G149" s="246"/>
      <c r="H149" s="151"/>
    </row>
    <row r="150" spans="2:8" s="43" customFormat="1" ht="27" x14ac:dyDescent="0.3">
      <c r="B150" s="44" t="s">
        <v>56</v>
      </c>
      <c r="C150" s="45">
        <v>6</v>
      </c>
      <c r="D150" s="125" t="str">
        <f t="shared" ref="D150:D151" si="23" xml:space="preserve"> IF(C150="","",setValueToTime(C150))</f>
        <v xml:space="preserve"> 30 min</v>
      </c>
      <c r="E150" s="183" t="s">
        <v>83</v>
      </c>
      <c r="F150" s="245"/>
      <c r="G150" s="246"/>
      <c r="H150" s="151"/>
    </row>
    <row r="151" spans="2:8" s="43" customFormat="1" ht="27" x14ac:dyDescent="0.3">
      <c r="B151" s="44" t="s">
        <v>179</v>
      </c>
      <c r="C151" s="45">
        <v>6</v>
      </c>
      <c r="D151" s="125" t="str">
        <f t="shared" si="23"/>
        <v xml:space="preserve"> 30 min</v>
      </c>
      <c r="E151" s="183" t="s">
        <v>84</v>
      </c>
      <c r="F151" s="245"/>
      <c r="G151" s="246"/>
      <c r="H151" s="151"/>
    </row>
    <row r="152" spans="2:8" s="43" customFormat="1" x14ac:dyDescent="0.3">
      <c r="B152" s="44" t="s">
        <v>33</v>
      </c>
      <c r="C152" s="45">
        <v>1</v>
      </c>
      <c r="D152" s="125" t="str">
        <f t="shared" ref="D152:D153" si="24" xml:space="preserve"> IF(C152="","",setValueToTime(C152))</f>
        <v xml:space="preserve"> 5 min</v>
      </c>
      <c r="E152" s="183" t="s">
        <v>94</v>
      </c>
      <c r="F152" s="245"/>
      <c r="G152" s="246"/>
      <c r="H152" s="151"/>
    </row>
    <row r="153" spans="2:8" s="43" customFormat="1" ht="15" thickBot="1" x14ac:dyDescent="0.35">
      <c r="B153" s="44" t="s">
        <v>31</v>
      </c>
      <c r="C153" s="45">
        <v>3</v>
      </c>
      <c r="D153" s="125" t="str">
        <f t="shared" si="24"/>
        <v xml:space="preserve"> 15 min</v>
      </c>
      <c r="E153" s="183" t="s">
        <v>79</v>
      </c>
      <c r="F153" s="245"/>
      <c r="G153" s="246"/>
      <c r="H153" s="151"/>
    </row>
    <row r="154" spans="2:8" s="43" customFormat="1" ht="15" thickBot="1" x14ac:dyDescent="0.35">
      <c r="B154" s="85" t="s">
        <v>44</v>
      </c>
      <c r="C154" s="67">
        <f>SUM(C148:C153)</f>
        <v>38</v>
      </c>
      <c r="D154" s="85" t="str">
        <f xml:space="preserve"> setValueToTime(C154)</f>
        <v>3h 10 min</v>
      </c>
      <c r="E154" s="94"/>
      <c r="F154" s="239"/>
      <c r="G154" s="240"/>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1" t="s">
        <v>42</v>
      </c>
      <c r="G157" s="242"/>
      <c r="H157" s="150"/>
    </row>
    <row r="158" spans="2:8" s="43" customFormat="1" ht="27.75" thickBot="1" x14ac:dyDescent="0.35">
      <c r="B158" s="40" t="s">
        <v>53</v>
      </c>
      <c r="C158" s="41">
        <v>15</v>
      </c>
      <c r="D158" s="124" t="str">
        <f xml:space="preserve"> IF(C158="","",setValueToTime(C158))</f>
        <v>1h 15 min</v>
      </c>
      <c r="E158" s="182" t="s">
        <v>76</v>
      </c>
      <c r="F158" s="247"/>
      <c r="G158" s="248"/>
      <c r="H158" s="151"/>
    </row>
    <row r="159" spans="2:8" s="43" customFormat="1" x14ac:dyDescent="0.3">
      <c r="B159" s="40" t="s">
        <v>54</v>
      </c>
      <c r="C159" s="41">
        <v>6</v>
      </c>
      <c r="D159" s="124" t="str">
        <f xml:space="preserve"> IF(C159="","",setValueToTime(C159))</f>
        <v xml:space="preserve"> 30 min</v>
      </c>
      <c r="E159" s="182" t="s">
        <v>78</v>
      </c>
      <c r="F159" s="243"/>
      <c r="G159" s="244"/>
      <c r="H159" s="151"/>
    </row>
    <row r="160" spans="2:8" s="43" customFormat="1" x14ac:dyDescent="0.3">
      <c r="B160" s="184" t="s">
        <v>55</v>
      </c>
      <c r="C160" s="45">
        <v>14</v>
      </c>
      <c r="D160" s="125" t="str">
        <f t="shared" ref="D160:D161" si="25" xml:space="preserve"> IF(C160="","",setValueToTime(C160))</f>
        <v>1h 10 min</v>
      </c>
      <c r="E160" s="183" t="s">
        <v>80</v>
      </c>
      <c r="F160" s="245"/>
      <c r="G160" s="246"/>
      <c r="H160" s="151"/>
    </row>
    <row r="161" spans="2:8" s="43" customFormat="1" ht="15" thickBot="1" x14ac:dyDescent="0.35">
      <c r="B161" s="44" t="s">
        <v>31</v>
      </c>
      <c r="C161" s="45">
        <v>3</v>
      </c>
      <c r="D161" s="125" t="str">
        <f t="shared" si="25"/>
        <v xml:space="preserve"> 15 min</v>
      </c>
      <c r="E161" s="183" t="s">
        <v>79</v>
      </c>
      <c r="F161" s="245"/>
      <c r="G161" s="246"/>
      <c r="H161" s="151"/>
    </row>
    <row r="162" spans="2:8" s="43" customFormat="1" ht="15" thickBot="1" x14ac:dyDescent="0.35">
      <c r="B162" s="85" t="s">
        <v>44</v>
      </c>
      <c r="C162" s="67">
        <f>SUM(C158:C161)</f>
        <v>38</v>
      </c>
      <c r="D162" s="85" t="str">
        <f xml:space="preserve"> setValueToTime(C162)</f>
        <v>3h 10 min</v>
      </c>
      <c r="E162" s="94"/>
      <c r="F162" s="239"/>
      <c r="G162" s="240"/>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1" t="s">
        <v>42</v>
      </c>
      <c r="G165" s="242"/>
      <c r="H165" s="150"/>
    </row>
    <row r="166" spans="2:8" s="43" customFormat="1" x14ac:dyDescent="0.3">
      <c r="B166" s="40" t="s">
        <v>48</v>
      </c>
      <c r="C166" s="41">
        <v>18</v>
      </c>
      <c r="D166" s="124" t="str">
        <f xml:space="preserve"> IF(C166="","",setValueToTime(C166))</f>
        <v>1h 30 min</v>
      </c>
      <c r="E166" s="182" t="s">
        <v>73</v>
      </c>
      <c r="F166" s="243"/>
      <c r="G166" s="244"/>
      <c r="H166" s="151"/>
    </row>
    <row r="167" spans="2:8" s="43" customFormat="1" x14ac:dyDescent="0.3">
      <c r="B167" s="44" t="s">
        <v>52</v>
      </c>
      <c r="C167" s="45">
        <v>12</v>
      </c>
      <c r="D167" s="125" t="str">
        <f t="shared" ref="D167:D169" si="26" xml:space="preserve"> IF(C167="","",setValueToTime(C167))</f>
        <v>1h</v>
      </c>
      <c r="E167" s="183" t="s">
        <v>75</v>
      </c>
      <c r="F167" s="245"/>
      <c r="G167" s="246"/>
      <c r="H167" s="151"/>
    </row>
    <row r="168" spans="2:8" s="43" customFormat="1" ht="27" x14ac:dyDescent="0.3">
      <c r="B168" s="44" t="s">
        <v>53</v>
      </c>
      <c r="C168" s="45">
        <v>15</v>
      </c>
      <c r="D168" s="125" t="str">
        <f t="shared" si="26"/>
        <v>1h 15 min</v>
      </c>
      <c r="E168" s="183" t="s">
        <v>77</v>
      </c>
      <c r="F168" s="245"/>
      <c r="G168" s="246"/>
      <c r="H168" s="151"/>
    </row>
    <row r="169" spans="2:8" s="43" customFormat="1" ht="15" thickBot="1" x14ac:dyDescent="0.35">
      <c r="B169" s="44" t="s">
        <v>31</v>
      </c>
      <c r="C169" s="45">
        <v>3</v>
      </c>
      <c r="D169" s="126" t="str">
        <f t="shared" si="26"/>
        <v xml:space="preserve"> 15 min</v>
      </c>
      <c r="E169" s="183" t="s">
        <v>79</v>
      </c>
      <c r="F169" s="245"/>
      <c r="G169" s="246"/>
      <c r="H169" s="151"/>
    </row>
    <row r="170" spans="2:8" s="43" customFormat="1" ht="15" thickBot="1" x14ac:dyDescent="0.35">
      <c r="B170" s="85" t="s">
        <v>44</v>
      </c>
      <c r="C170" s="67">
        <f>SUM(C166:C169)</f>
        <v>48</v>
      </c>
      <c r="D170" s="85" t="str">
        <f xml:space="preserve"> setValueToTime(C170)</f>
        <v>4h</v>
      </c>
      <c r="E170" s="94"/>
      <c r="F170" s="239"/>
      <c r="G170" s="240"/>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1" t="s">
        <v>42</v>
      </c>
      <c r="G173" s="242"/>
      <c r="H173" s="150"/>
    </row>
    <row r="174" spans="2:8" s="43" customFormat="1" ht="15" thickBot="1" x14ac:dyDescent="0.35">
      <c r="B174" s="40" t="s">
        <v>30</v>
      </c>
      <c r="C174" s="41">
        <v>23</v>
      </c>
      <c r="D174" s="124" t="str">
        <f xml:space="preserve"> IF(C174="","",setValueToTime(C174))</f>
        <v>1h 55 min</v>
      </c>
      <c r="E174" s="182" t="s">
        <v>69</v>
      </c>
      <c r="F174" s="247"/>
      <c r="G174" s="248"/>
      <c r="H174" s="151"/>
    </row>
    <row r="175" spans="2:8" s="43" customFormat="1" ht="27.75" thickBot="1" x14ac:dyDescent="0.35">
      <c r="B175" s="40" t="s">
        <v>47</v>
      </c>
      <c r="C175" s="41">
        <v>6</v>
      </c>
      <c r="D175" s="124" t="str">
        <f xml:space="preserve"> IF(C175="","",setValueToTime(C175))</f>
        <v xml:space="preserve"> 30 min</v>
      </c>
      <c r="E175" s="182" t="s">
        <v>70</v>
      </c>
      <c r="F175" s="247"/>
      <c r="G175" s="248"/>
      <c r="H175" s="151"/>
    </row>
    <row r="176" spans="2:8" s="43" customFormat="1" ht="15" thickBot="1" x14ac:dyDescent="0.35">
      <c r="B176" s="40" t="s">
        <v>48</v>
      </c>
      <c r="C176" s="41">
        <v>6</v>
      </c>
      <c r="D176" s="124" t="str">
        <f xml:space="preserve"> IF(C176="","",setValueToTime(C176))</f>
        <v xml:space="preserve"> 30 min</v>
      </c>
      <c r="E176" s="182" t="s">
        <v>74</v>
      </c>
      <c r="F176" s="247"/>
      <c r="G176" s="248"/>
      <c r="H176" s="151"/>
    </row>
    <row r="177" spans="2:8" s="43" customFormat="1" ht="15" thickBot="1" x14ac:dyDescent="0.35">
      <c r="B177" s="40" t="s">
        <v>31</v>
      </c>
      <c r="C177" s="41">
        <v>3</v>
      </c>
      <c r="D177" s="124" t="str">
        <f xml:space="preserve"> IF(C177="","",setValueToTime(C177))</f>
        <v xml:space="preserve"> 15 min</v>
      </c>
      <c r="E177" s="182" t="s">
        <v>79</v>
      </c>
      <c r="F177" s="247"/>
      <c r="G177" s="248"/>
      <c r="H177" s="151"/>
    </row>
    <row r="178" spans="2:8" s="43" customFormat="1" ht="15" thickBot="1" x14ac:dyDescent="0.35">
      <c r="B178" s="85" t="s">
        <v>44</v>
      </c>
      <c r="C178" s="67">
        <f>SUM(C174:C177)</f>
        <v>38</v>
      </c>
      <c r="D178" s="85" t="str">
        <f xml:space="preserve"> setValueToTime(C178)</f>
        <v>3h 10 min</v>
      </c>
      <c r="E178" s="94"/>
      <c r="F178" s="239"/>
      <c r="G178" s="240"/>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1" t="s">
        <v>42</v>
      </c>
      <c r="G181" s="242"/>
      <c r="H181" s="150"/>
    </row>
    <row r="182" spans="2:8" s="43" customFormat="1" x14ac:dyDescent="0.3">
      <c r="B182" s="40" t="s">
        <v>28</v>
      </c>
      <c r="C182" s="41">
        <v>12</v>
      </c>
      <c r="D182" s="124" t="str">
        <f xml:space="preserve"> IF(C182="","",setValueToTime(C182))</f>
        <v>1h</v>
      </c>
      <c r="E182" s="42" t="s">
        <v>67</v>
      </c>
      <c r="F182" s="243"/>
      <c r="G182" s="244"/>
      <c r="H182" s="151"/>
    </row>
    <row r="183" spans="2:8" s="43" customFormat="1" x14ac:dyDescent="0.3">
      <c r="B183" s="44" t="s">
        <v>30</v>
      </c>
      <c r="C183" s="45">
        <v>33</v>
      </c>
      <c r="D183" s="125" t="str">
        <f t="shared" ref="D183" si="27" xml:space="preserve"> IF(C183="","",setValueToTime(C183))</f>
        <v>2h 45 min</v>
      </c>
      <c r="E183" s="183" t="s">
        <v>71</v>
      </c>
      <c r="F183" s="245"/>
      <c r="G183" s="246"/>
      <c r="H183" s="151"/>
    </row>
    <row r="184" spans="2:8" s="43" customFormat="1" ht="15" thickBot="1" x14ac:dyDescent="0.35">
      <c r="B184" s="44" t="s">
        <v>31</v>
      </c>
      <c r="C184" s="45">
        <v>3</v>
      </c>
      <c r="D184" s="125" t="str">
        <f t="shared" ref="D184" si="28" xml:space="preserve"> IF(C184="","",setValueToTime(C184))</f>
        <v xml:space="preserve"> 15 min</v>
      </c>
      <c r="E184" s="183" t="s">
        <v>79</v>
      </c>
      <c r="F184" s="245"/>
      <c r="G184" s="246"/>
      <c r="H184" s="151"/>
    </row>
    <row r="185" spans="2:8" s="43" customFormat="1" ht="15" thickBot="1" x14ac:dyDescent="0.35">
      <c r="B185" s="85" t="s">
        <v>44</v>
      </c>
      <c r="C185" s="67">
        <f>SUM(C182:C184)</f>
        <v>48</v>
      </c>
      <c r="D185" s="85" t="str">
        <f xml:space="preserve"> setValueToTime(C185)</f>
        <v>4h</v>
      </c>
      <c r="E185" s="94"/>
      <c r="F185" s="239"/>
      <c r="G185" s="240"/>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24:G24"/>
    <mergeCell ref="F25:G25"/>
    <mergeCell ref="F16:G16"/>
    <mergeCell ref="F17:G17"/>
    <mergeCell ref="F30:G30"/>
    <mergeCell ref="F31:G31"/>
    <mergeCell ref="F22:G22"/>
    <mergeCell ref="F23:G23"/>
    <mergeCell ref="F36:G36"/>
    <mergeCell ref="F28:G28"/>
    <mergeCell ref="F29:G29"/>
    <mergeCell ref="F5:G5"/>
    <mergeCell ref="F6:G6"/>
    <mergeCell ref="F12:G12"/>
    <mergeCell ref="F13:G13"/>
    <mergeCell ref="F3:G3"/>
    <mergeCell ref="F4:G4"/>
    <mergeCell ref="F18:G18"/>
    <mergeCell ref="F19:G19"/>
    <mergeCell ref="F9:G9"/>
    <mergeCell ref="F10:G10"/>
    <mergeCell ref="F11:G11"/>
    <mergeCell ref="F42:G42"/>
    <mergeCell ref="F43:G43"/>
    <mergeCell ref="F34:G34"/>
    <mergeCell ref="F35:G35"/>
    <mergeCell ref="F48:G48"/>
    <mergeCell ref="F49:G49"/>
    <mergeCell ref="F40:G40"/>
    <mergeCell ref="F41:G41"/>
    <mergeCell ref="F54:G54"/>
    <mergeCell ref="F37:G37"/>
    <mergeCell ref="F55:G55"/>
    <mergeCell ref="F46:G46"/>
    <mergeCell ref="F47:G47"/>
    <mergeCell ref="F60:G60"/>
    <mergeCell ref="F61:G61"/>
    <mergeCell ref="F52:G52"/>
    <mergeCell ref="F53:G53"/>
    <mergeCell ref="F67:G67"/>
    <mergeCell ref="F68:G68"/>
    <mergeCell ref="F58:G58"/>
    <mergeCell ref="F59:G59"/>
    <mergeCell ref="F72:G72"/>
    <mergeCell ref="F73:G73"/>
    <mergeCell ref="F74:G74"/>
    <mergeCell ref="F64:G64"/>
    <mergeCell ref="F65:G65"/>
    <mergeCell ref="F66:G66"/>
    <mergeCell ref="F78:G78"/>
    <mergeCell ref="F79:G79"/>
    <mergeCell ref="F80:G80"/>
    <mergeCell ref="F71:G71"/>
    <mergeCell ref="F85:G85"/>
    <mergeCell ref="F86:G86"/>
    <mergeCell ref="F77:G77"/>
    <mergeCell ref="F91:G91"/>
    <mergeCell ref="F92:G92"/>
    <mergeCell ref="F83:G83"/>
    <mergeCell ref="F84:G84"/>
    <mergeCell ref="F97:G97"/>
    <mergeCell ref="F98:G98"/>
    <mergeCell ref="F89:G89"/>
    <mergeCell ref="F90:G90"/>
    <mergeCell ref="F95:G95"/>
    <mergeCell ref="F96:G96"/>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s>
  <phoneticPr fontId="0" type="noConversion"/>
  <conditionalFormatting sqref="C185">
    <cfRule type="cellIs" dxfId="47" priority="31" operator="greaterThan">
      <formula>60</formula>
    </cfRule>
  </conditionalFormatting>
  <conditionalFormatting sqref="C178">
    <cfRule type="cellIs" dxfId="46" priority="30" operator="greaterThan">
      <formula>60</formula>
    </cfRule>
  </conditionalFormatting>
  <conditionalFormatting sqref="C170">
    <cfRule type="cellIs" dxfId="45" priority="29" operator="greaterThan">
      <formula>60</formula>
    </cfRule>
  </conditionalFormatting>
  <conditionalFormatting sqref="C162">
    <cfRule type="cellIs" dxfId="44" priority="28" operator="greaterThan">
      <formula>60</formula>
    </cfRule>
  </conditionalFormatting>
  <conditionalFormatting sqref="C154">
    <cfRule type="cellIs" dxfId="43" priority="27" operator="greaterThan">
      <formula>60</formula>
    </cfRule>
  </conditionalFormatting>
  <conditionalFormatting sqref="C144">
    <cfRule type="cellIs" dxfId="42" priority="26" operator="greaterThan">
      <formula>60</formula>
    </cfRule>
  </conditionalFormatting>
  <conditionalFormatting sqref="C137">
    <cfRule type="cellIs" dxfId="41" priority="25" operator="greaterThan">
      <formula>60</formula>
    </cfRule>
  </conditionalFormatting>
  <conditionalFormatting sqref="C130">
    <cfRule type="cellIs" dxfId="40" priority="24" operator="greaterThan">
      <formula>60</formula>
    </cfRule>
  </conditionalFormatting>
  <conditionalFormatting sqref="C123">
    <cfRule type="cellIs" dxfId="39" priority="23" operator="greaterThan">
      <formula>60</formula>
    </cfRule>
  </conditionalFormatting>
  <conditionalFormatting sqref="C116">
    <cfRule type="cellIs" dxfId="38" priority="22" operator="greaterThan">
      <formula>60</formula>
    </cfRule>
  </conditionalFormatting>
  <conditionalFormatting sqref="C110">
    <cfRule type="cellIs" dxfId="37" priority="21" operator="greaterThan">
      <formula>60</formula>
    </cfRule>
  </conditionalFormatting>
  <conditionalFormatting sqref="C104">
    <cfRule type="cellIs" dxfId="36" priority="20" operator="greaterThan">
      <formula>60</formula>
    </cfRule>
  </conditionalFormatting>
  <conditionalFormatting sqref="C98">
    <cfRule type="cellIs" dxfId="35" priority="19" operator="greaterThan">
      <formula>60</formula>
    </cfRule>
  </conditionalFormatting>
  <conditionalFormatting sqref="C92">
    <cfRule type="cellIs" dxfId="34" priority="18" operator="greaterThan">
      <formula>60</formula>
    </cfRule>
  </conditionalFormatting>
  <conditionalFormatting sqref="C86">
    <cfRule type="cellIs" dxfId="33" priority="17" operator="greaterThan">
      <formula>60</formula>
    </cfRule>
  </conditionalFormatting>
  <conditionalFormatting sqref="C80">
    <cfRule type="cellIs" dxfId="32" priority="16" operator="greaterThan">
      <formula>60</formula>
    </cfRule>
  </conditionalFormatting>
  <conditionalFormatting sqref="C74">
    <cfRule type="cellIs" dxfId="31" priority="15" operator="greaterThan">
      <formula>60</formula>
    </cfRule>
  </conditionalFormatting>
  <conditionalFormatting sqref="C68">
    <cfRule type="cellIs" dxfId="30" priority="14" operator="greaterThan">
      <formula>60</formula>
    </cfRule>
  </conditionalFormatting>
  <conditionalFormatting sqref="C61">
    <cfRule type="cellIs" dxfId="29" priority="13" operator="greaterThan">
      <formula>60</formula>
    </cfRule>
  </conditionalFormatting>
  <conditionalFormatting sqref="C55">
    <cfRule type="cellIs" dxfId="28" priority="12" operator="greaterThan">
      <formula>60</formula>
    </cfRule>
  </conditionalFormatting>
  <conditionalFormatting sqref="C49">
    <cfRule type="cellIs" dxfId="27" priority="11" operator="greaterThan">
      <formula>60</formula>
    </cfRule>
  </conditionalFormatting>
  <conditionalFormatting sqref="C43">
    <cfRule type="cellIs" dxfId="26" priority="10" operator="greaterThan">
      <formula>60</formula>
    </cfRule>
  </conditionalFormatting>
  <conditionalFormatting sqref="C37">
    <cfRule type="cellIs" dxfId="25" priority="9" operator="greaterThan">
      <formula>60</formula>
    </cfRule>
  </conditionalFormatting>
  <conditionalFormatting sqref="C31">
    <cfRule type="cellIs" dxfId="24" priority="8" operator="greaterThan">
      <formula>60</formula>
    </cfRule>
  </conditionalFormatting>
  <conditionalFormatting sqref="C25">
    <cfRule type="cellIs" dxfId="23" priority="7" operator="greaterThan">
      <formula>60</formula>
    </cfRule>
  </conditionalFormatting>
  <conditionalFormatting sqref="C19">
    <cfRule type="cellIs" dxfId="22" priority="6" operator="greaterThan">
      <formula>60</formula>
    </cfRule>
  </conditionalFormatting>
  <conditionalFormatting sqref="C13">
    <cfRule type="cellIs" dxfId="21" priority="5" operator="greaterThan">
      <formula>60</formula>
    </cfRule>
  </conditionalFormatting>
  <conditionalFormatting sqref="C6">
    <cfRule type="cellIs" dxfId="20"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84"/>
  <sheetViews>
    <sheetView showGridLines="0" tabSelected="1" zoomScaleNormal="100" zoomScaleSheetLayoutView="98" workbookViewId="0">
      <pane ySplit="1" topLeftCell="A2"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18</v>
      </c>
      <c r="D2" s="136"/>
      <c r="E2" s="129" t="s">
        <v>38</v>
      </c>
      <c r="F2" s="130" t="s">
        <v>119</v>
      </c>
      <c r="G2" s="131" t="s">
        <v>66</v>
      </c>
      <c r="H2" s="150"/>
    </row>
    <row r="3" spans="2:8" s="39" customFormat="1" ht="30" customHeight="1" thickBot="1" x14ac:dyDescent="0.3">
      <c r="B3" s="61" t="s">
        <v>39</v>
      </c>
      <c r="C3" s="133" t="s">
        <v>40</v>
      </c>
      <c r="D3" s="132"/>
      <c r="E3" s="61" t="s">
        <v>41</v>
      </c>
      <c r="F3" s="253" t="s">
        <v>42</v>
      </c>
      <c r="G3" s="254"/>
      <c r="H3" s="150"/>
    </row>
    <row r="4" spans="2:8" s="43" customFormat="1" ht="54" x14ac:dyDescent="0.3">
      <c r="B4" s="40" t="s">
        <v>28</v>
      </c>
      <c r="C4" s="41">
        <v>12</v>
      </c>
      <c r="D4" s="124" t="str">
        <f xml:space="preserve"> IF(C4="","",setValueToTime(C4))</f>
        <v>1h</v>
      </c>
      <c r="E4" s="42" t="s">
        <v>272</v>
      </c>
      <c r="F4" s="243"/>
      <c r="G4" s="244"/>
      <c r="H4" s="151"/>
    </row>
    <row r="5" spans="2:8" s="43" customFormat="1" ht="27" x14ac:dyDescent="0.3">
      <c r="B5" s="44" t="s">
        <v>32</v>
      </c>
      <c r="C5" s="45">
        <v>12</v>
      </c>
      <c r="D5" s="125" t="str">
        <f t="shared" ref="D5:D7" si="0" xml:space="preserve"> IF(C5="","",setValueToTime(C5))</f>
        <v>1h</v>
      </c>
      <c r="E5" s="46" t="s">
        <v>270</v>
      </c>
      <c r="F5" s="245"/>
      <c r="G5" s="246"/>
      <c r="H5" s="151"/>
    </row>
    <row r="6" spans="2:8" s="43" customFormat="1" ht="27" x14ac:dyDescent="0.3">
      <c r="B6" s="44" t="s">
        <v>32</v>
      </c>
      <c r="C6" s="45">
        <v>11</v>
      </c>
      <c r="D6" s="125" t="str">
        <f t="shared" si="0"/>
        <v xml:space="preserve"> 55 min</v>
      </c>
      <c r="E6" s="46" t="s">
        <v>271</v>
      </c>
      <c r="F6" s="245"/>
      <c r="G6" s="246"/>
      <c r="H6" s="151"/>
    </row>
    <row r="7" spans="2:8" s="43" customFormat="1" ht="27.75" thickBot="1" x14ac:dyDescent="0.35">
      <c r="B7" s="47" t="s">
        <v>31</v>
      </c>
      <c r="C7" s="47">
        <v>3</v>
      </c>
      <c r="D7" s="127" t="str">
        <f t="shared" si="0"/>
        <v xml:space="preserve"> 15 min</v>
      </c>
      <c r="E7" s="48" t="s">
        <v>203</v>
      </c>
      <c r="F7" s="249"/>
      <c r="G7" s="250"/>
      <c r="H7" s="151"/>
    </row>
    <row r="8" spans="2:8" s="43" customFormat="1" ht="15" thickBot="1" x14ac:dyDescent="0.35">
      <c r="B8" s="134" t="s">
        <v>44</v>
      </c>
      <c r="C8" s="66">
        <f>SUM(C4:C7)</f>
        <v>38</v>
      </c>
      <c r="D8" s="134" t="str">
        <f xml:space="preserve"> setValueToTime(C8)</f>
        <v>3h 10 min</v>
      </c>
      <c r="E8" s="95"/>
      <c r="F8" s="251"/>
      <c r="G8" s="252"/>
      <c r="H8" s="151"/>
    </row>
    <row r="9" spans="2:8" s="43" customFormat="1" ht="15" thickBot="1" x14ac:dyDescent="0.35">
      <c r="B9" s="60"/>
      <c r="C9" s="60"/>
      <c r="D9" s="60"/>
      <c r="E9" s="60"/>
      <c r="F9" s="60"/>
      <c r="G9" s="60"/>
      <c r="H9" s="151"/>
    </row>
    <row r="10" spans="2:8" s="39" customFormat="1" ht="30" customHeight="1" thickBot="1" x14ac:dyDescent="0.3">
      <c r="B10" s="128" t="s">
        <v>37</v>
      </c>
      <c r="C10" s="136">
        <v>17</v>
      </c>
      <c r="D10" s="136"/>
      <c r="E10" s="129" t="s">
        <v>38</v>
      </c>
      <c r="F10" s="130" t="s">
        <v>121</v>
      </c>
      <c r="G10" s="131" t="s">
        <v>68</v>
      </c>
      <c r="H10" s="150"/>
    </row>
    <row r="11" spans="2:8" s="39" customFormat="1" ht="30" customHeight="1" thickBot="1" x14ac:dyDescent="0.3">
      <c r="B11" s="61" t="s">
        <v>39</v>
      </c>
      <c r="C11" s="133" t="s">
        <v>40</v>
      </c>
      <c r="D11" s="132"/>
      <c r="E11" s="61" t="s">
        <v>41</v>
      </c>
      <c r="F11" s="253" t="s">
        <v>42</v>
      </c>
      <c r="G11" s="254"/>
      <c r="H11" s="150"/>
    </row>
    <row r="12" spans="2:8" s="43" customFormat="1" x14ac:dyDescent="0.3">
      <c r="B12" s="40" t="s">
        <v>32</v>
      </c>
      <c r="C12" s="41">
        <v>3</v>
      </c>
      <c r="D12" s="124" t="str">
        <f xml:space="preserve"> IF(C12="","",setValueToTime(C12))</f>
        <v xml:space="preserve"> 15 min</v>
      </c>
      <c r="E12" s="182" t="s">
        <v>257</v>
      </c>
      <c r="F12" s="243"/>
      <c r="G12" s="244"/>
      <c r="H12" s="151"/>
    </row>
    <row r="13" spans="2:8" s="43" customFormat="1" ht="67.5" x14ac:dyDescent="0.3">
      <c r="B13" s="44" t="s">
        <v>28</v>
      </c>
      <c r="C13" s="45">
        <v>3</v>
      </c>
      <c r="D13" s="125" t="str">
        <f t="shared" ref="D13:D18" si="1" xml:space="preserve"> IF(C13="","",setValueToTime(C13))</f>
        <v xml:space="preserve"> 15 min</v>
      </c>
      <c r="E13" s="183" t="s">
        <v>266</v>
      </c>
      <c r="F13" s="245"/>
      <c r="G13" s="246"/>
      <c r="H13" s="151"/>
    </row>
    <row r="14" spans="2:8" s="43" customFormat="1" ht="27" x14ac:dyDescent="0.3">
      <c r="B14" s="44" t="s">
        <v>32</v>
      </c>
      <c r="C14" s="45">
        <v>12</v>
      </c>
      <c r="D14" s="125" t="str">
        <f t="shared" si="1"/>
        <v>1h</v>
      </c>
      <c r="E14" s="183" t="s">
        <v>258</v>
      </c>
      <c r="F14" s="245"/>
      <c r="G14" s="246"/>
      <c r="H14" s="151"/>
    </row>
    <row r="15" spans="2:8" s="43" customFormat="1" ht="40.5" x14ac:dyDescent="0.3">
      <c r="B15" s="44" t="s">
        <v>32</v>
      </c>
      <c r="C15" s="45">
        <v>5</v>
      </c>
      <c r="D15" s="125" t="str">
        <f t="shared" si="1"/>
        <v xml:space="preserve"> 25 min</v>
      </c>
      <c r="E15" s="183" t="s">
        <v>260</v>
      </c>
      <c r="F15" s="245"/>
      <c r="G15" s="246"/>
      <c r="H15" s="151"/>
    </row>
    <row r="16" spans="2:8" s="43" customFormat="1" ht="27" x14ac:dyDescent="0.3">
      <c r="B16" s="45" t="s">
        <v>50</v>
      </c>
      <c r="C16" s="45">
        <v>8</v>
      </c>
      <c r="D16" s="126" t="str">
        <f t="shared" ref="D16" si="2" xml:space="preserve"> IF(C16="","",setValueToTime(C16))</f>
        <v xml:space="preserve"> 40 min</v>
      </c>
      <c r="E16" s="183" t="s">
        <v>263</v>
      </c>
      <c r="F16" s="245"/>
      <c r="G16" s="246"/>
      <c r="H16" s="151"/>
    </row>
    <row r="17" spans="2:8" s="43" customFormat="1" x14ac:dyDescent="0.3">
      <c r="B17" s="45" t="s">
        <v>32</v>
      </c>
      <c r="C17" s="45">
        <v>2</v>
      </c>
      <c r="D17" s="126" t="str">
        <f t="shared" si="1"/>
        <v xml:space="preserve"> 10 min</v>
      </c>
      <c r="E17" s="183" t="s">
        <v>261</v>
      </c>
      <c r="F17" s="245"/>
      <c r="G17" s="246"/>
      <c r="H17" s="151"/>
    </row>
    <row r="18" spans="2:8" s="43" customFormat="1" ht="41.25" thickBot="1" x14ac:dyDescent="0.35">
      <c r="B18" s="47" t="s">
        <v>31</v>
      </c>
      <c r="C18" s="47">
        <v>5</v>
      </c>
      <c r="D18" s="127" t="str">
        <f t="shared" si="1"/>
        <v xml:space="preserve"> 25 min</v>
      </c>
      <c r="E18" s="185" t="s">
        <v>259</v>
      </c>
      <c r="F18" s="249"/>
      <c r="G18" s="250"/>
      <c r="H18" s="151"/>
    </row>
    <row r="19" spans="2:8" s="43" customFormat="1" ht="15" thickBot="1" x14ac:dyDescent="0.35">
      <c r="B19" s="134" t="s">
        <v>44</v>
      </c>
      <c r="C19" s="66">
        <f>SUM(C12:C18)</f>
        <v>38</v>
      </c>
      <c r="D19" s="134" t="str">
        <f xml:space="preserve"> setValueToTime(C19)</f>
        <v>3h 10 min</v>
      </c>
      <c r="E19" s="95"/>
      <c r="F19" s="251"/>
      <c r="G19" s="252"/>
      <c r="H19" s="151"/>
    </row>
    <row r="20" spans="2:8" s="43" customFormat="1" ht="15" thickBot="1" x14ac:dyDescent="0.35">
      <c r="B20" s="60"/>
      <c r="C20" s="60"/>
      <c r="D20" s="60"/>
      <c r="E20" s="60"/>
      <c r="F20" s="60"/>
      <c r="G20" s="60"/>
      <c r="H20" s="151"/>
    </row>
    <row r="21" spans="2:8" s="39" customFormat="1" ht="30" customHeight="1" thickBot="1" x14ac:dyDescent="0.3">
      <c r="B21" s="128" t="s">
        <v>37</v>
      </c>
      <c r="C21" s="136">
        <v>16</v>
      </c>
      <c r="D21" s="136"/>
      <c r="E21" s="129" t="s">
        <v>38</v>
      </c>
      <c r="F21" s="130" t="s">
        <v>121</v>
      </c>
      <c r="G21" s="131" t="s">
        <v>66</v>
      </c>
      <c r="H21" s="150"/>
    </row>
    <row r="22" spans="2:8" s="39" customFormat="1" ht="30" customHeight="1" thickBot="1" x14ac:dyDescent="0.3">
      <c r="B22" s="61" t="s">
        <v>39</v>
      </c>
      <c r="C22" s="133" t="s">
        <v>40</v>
      </c>
      <c r="D22" s="132"/>
      <c r="E22" s="61" t="s">
        <v>41</v>
      </c>
      <c r="F22" s="253" t="s">
        <v>42</v>
      </c>
      <c r="G22" s="254"/>
      <c r="H22" s="150"/>
    </row>
    <row r="23" spans="2:8" s="43" customFormat="1" ht="86.25" customHeight="1" x14ac:dyDescent="0.3">
      <c r="B23" s="40" t="s">
        <v>60</v>
      </c>
      <c r="C23" s="41">
        <v>12</v>
      </c>
      <c r="D23" s="124" t="str">
        <f xml:space="preserve"> IF(C23="","",setValueToTime(C23))</f>
        <v>1h</v>
      </c>
      <c r="E23" s="42" t="s">
        <v>267</v>
      </c>
      <c r="F23" s="255" t="s">
        <v>253</v>
      </c>
      <c r="G23" s="256"/>
      <c r="H23" s="151"/>
    </row>
    <row r="24" spans="2:8" s="43" customFormat="1" ht="40.5" x14ac:dyDescent="0.3">
      <c r="B24" s="44" t="s">
        <v>60</v>
      </c>
      <c r="C24" s="45">
        <v>8</v>
      </c>
      <c r="D24" s="125" t="str">
        <f t="shared" ref="D24:D27" si="3" xml:space="preserve"> IF(C24="","",setValueToTime(C24))</f>
        <v xml:space="preserve"> 40 min</v>
      </c>
      <c r="E24" s="183" t="s">
        <v>254</v>
      </c>
      <c r="F24" s="257"/>
      <c r="G24" s="258"/>
      <c r="H24" s="151"/>
    </row>
    <row r="25" spans="2:8" s="43" customFormat="1" ht="105.75" customHeight="1" x14ac:dyDescent="0.3">
      <c r="B25" s="44" t="s">
        <v>179</v>
      </c>
      <c r="C25" s="45">
        <v>12</v>
      </c>
      <c r="D25" s="125" t="str">
        <f t="shared" si="3"/>
        <v>1h</v>
      </c>
      <c r="E25" s="183" t="s">
        <v>264</v>
      </c>
      <c r="F25" s="259" t="s">
        <v>255</v>
      </c>
      <c r="G25" s="258"/>
      <c r="H25" s="151"/>
    </row>
    <row r="26" spans="2:8" s="43" customFormat="1" ht="40.5" x14ac:dyDescent="0.3">
      <c r="B26" s="44" t="s">
        <v>179</v>
      </c>
      <c r="C26" s="45">
        <v>2</v>
      </c>
      <c r="D26" s="125" t="str">
        <f t="shared" si="3"/>
        <v xml:space="preserve"> 10 min</v>
      </c>
      <c r="E26" s="183" t="s">
        <v>265</v>
      </c>
      <c r="F26" s="257"/>
      <c r="G26" s="258"/>
      <c r="H26" s="151"/>
    </row>
    <row r="27" spans="2:8" s="43" customFormat="1" ht="27.75" thickBot="1" x14ac:dyDescent="0.35">
      <c r="B27" s="47" t="s">
        <v>31</v>
      </c>
      <c r="C27" s="47">
        <v>4</v>
      </c>
      <c r="D27" s="127" t="str">
        <f t="shared" si="3"/>
        <v xml:space="preserve"> 20 min</v>
      </c>
      <c r="E27" s="185" t="s">
        <v>222</v>
      </c>
      <c r="F27" s="260"/>
      <c r="G27" s="261"/>
      <c r="H27" s="151"/>
    </row>
    <row r="28" spans="2:8" s="43" customFormat="1" ht="15" thickBot="1" x14ac:dyDescent="0.35">
      <c r="B28" s="134" t="s">
        <v>44</v>
      </c>
      <c r="C28" s="66">
        <f>SUM(C23:C27)</f>
        <v>38</v>
      </c>
      <c r="D28" s="134" t="str">
        <f xml:space="preserve"> setValueToTime(C28)</f>
        <v>3h 10 min</v>
      </c>
      <c r="E28" s="95"/>
      <c r="F28" s="251"/>
      <c r="G28" s="252"/>
      <c r="H28" s="151"/>
    </row>
    <row r="29" spans="2:8" s="43" customFormat="1" ht="15" thickBot="1" x14ac:dyDescent="0.35">
      <c r="B29" s="60"/>
      <c r="C29" s="60"/>
      <c r="D29" s="60"/>
      <c r="E29" s="60"/>
      <c r="F29" s="60"/>
      <c r="G29" s="60"/>
      <c r="H29" s="151"/>
    </row>
    <row r="30" spans="2:8" s="39" customFormat="1" ht="30" customHeight="1" thickBot="1" x14ac:dyDescent="0.3">
      <c r="B30" s="128" t="s">
        <v>37</v>
      </c>
      <c r="C30" s="136">
        <v>15</v>
      </c>
      <c r="D30" s="136"/>
      <c r="E30" s="129" t="s">
        <v>38</v>
      </c>
      <c r="F30" s="130" t="s">
        <v>124</v>
      </c>
      <c r="G30" s="131" t="s">
        <v>68</v>
      </c>
      <c r="H30" s="150"/>
    </row>
    <row r="31" spans="2:8" s="39" customFormat="1" ht="30" customHeight="1" thickBot="1" x14ac:dyDescent="0.3">
      <c r="B31" s="61" t="s">
        <v>39</v>
      </c>
      <c r="C31" s="133" t="s">
        <v>40</v>
      </c>
      <c r="D31" s="132"/>
      <c r="E31" s="61" t="s">
        <v>41</v>
      </c>
      <c r="F31" s="253" t="s">
        <v>42</v>
      </c>
      <c r="G31" s="254"/>
      <c r="H31" s="150"/>
    </row>
    <row r="32" spans="2:8" s="43" customFormat="1" ht="54" x14ac:dyDescent="0.3">
      <c r="B32" s="40" t="s">
        <v>33</v>
      </c>
      <c r="C32" s="41">
        <v>6</v>
      </c>
      <c r="D32" s="124" t="str">
        <f xml:space="preserve"> IF(C32="","",setValueToTime(C32))</f>
        <v xml:space="preserve"> 30 min</v>
      </c>
      <c r="E32" s="182" t="s">
        <v>269</v>
      </c>
      <c r="F32" s="262"/>
      <c r="G32" s="256"/>
      <c r="H32" s="151"/>
    </row>
    <row r="33" spans="2:8" s="43" customFormat="1" ht="27" x14ac:dyDescent="0.3">
      <c r="B33" s="44" t="s">
        <v>57</v>
      </c>
      <c r="C33" s="45">
        <v>7</v>
      </c>
      <c r="D33" s="125" t="str">
        <f t="shared" ref="D33:D36" si="4" xml:space="preserve"> IF(C33="","",setValueToTime(C33))</f>
        <v xml:space="preserve"> 35 min</v>
      </c>
      <c r="E33" s="46" t="s">
        <v>268</v>
      </c>
      <c r="F33" s="257"/>
      <c r="G33" s="258"/>
      <c r="H33" s="151"/>
    </row>
    <row r="34" spans="2:8" s="43" customFormat="1" ht="27" x14ac:dyDescent="0.3">
      <c r="B34" s="44" t="s">
        <v>55</v>
      </c>
      <c r="C34" s="45">
        <v>2</v>
      </c>
      <c r="D34" s="125" t="str">
        <f t="shared" si="4"/>
        <v xml:space="preserve"> 10 min</v>
      </c>
      <c r="E34" s="46" t="s">
        <v>250</v>
      </c>
      <c r="F34" s="257"/>
      <c r="G34" s="258"/>
      <c r="H34" s="151"/>
    </row>
    <row r="35" spans="2:8" s="43" customFormat="1" ht="57.75" customHeight="1" x14ac:dyDescent="0.3">
      <c r="B35" s="44" t="s">
        <v>58</v>
      </c>
      <c r="C35" s="45">
        <v>8</v>
      </c>
      <c r="D35" s="125" t="str">
        <f t="shared" si="4"/>
        <v xml:space="preserve"> 40 min</v>
      </c>
      <c r="E35" s="46" t="s">
        <v>252</v>
      </c>
      <c r="F35" s="259" t="s">
        <v>251</v>
      </c>
      <c r="G35" s="258"/>
      <c r="H35" s="151"/>
    </row>
    <row r="36" spans="2:8" s="43" customFormat="1" ht="27.75" thickBot="1" x14ac:dyDescent="0.35">
      <c r="B36" s="47" t="s">
        <v>31</v>
      </c>
      <c r="C36" s="47">
        <v>3</v>
      </c>
      <c r="D36" s="127" t="str">
        <f t="shared" si="4"/>
        <v xml:space="preserve"> 15 min</v>
      </c>
      <c r="E36" s="185" t="s">
        <v>243</v>
      </c>
      <c r="F36" s="260"/>
      <c r="G36" s="261"/>
      <c r="H36" s="151"/>
    </row>
    <row r="37" spans="2:8" s="43" customFormat="1" ht="15" thickBot="1" x14ac:dyDescent="0.35">
      <c r="B37" s="134" t="s">
        <v>44</v>
      </c>
      <c r="C37" s="66">
        <f>SUM(C32:C36)</f>
        <v>26</v>
      </c>
      <c r="D37" s="134" t="str">
        <f xml:space="preserve"> setValueToTime(C37)</f>
        <v>2h 10 min</v>
      </c>
      <c r="E37" s="95"/>
      <c r="F37" s="251"/>
      <c r="G37" s="252"/>
      <c r="H37" s="151"/>
    </row>
    <row r="38" spans="2:8" s="43" customFormat="1" ht="15" thickBot="1" x14ac:dyDescent="0.35">
      <c r="B38" s="60"/>
      <c r="C38" s="60"/>
      <c r="D38" s="60"/>
      <c r="E38" s="60"/>
      <c r="F38" s="60"/>
      <c r="G38" s="60"/>
      <c r="H38" s="151"/>
    </row>
    <row r="39" spans="2:8" s="39" customFormat="1" ht="30" customHeight="1" thickBot="1" x14ac:dyDescent="0.3">
      <c r="B39" s="128" t="s">
        <v>37</v>
      </c>
      <c r="C39" s="136">
        <v>14</v>
      </c>
      <c r="D39" s="136"/>
      <c r="E39" s="129" t="s">
        <v>38</v>
      </c>
      <c r="F39" s="130" t="s">
        <v>124</v>
      </c>
      <c r="G39" s="131" t="s">
        <v>66</v>
      </c>
      <c r="H39" s="150"/>
    </row>
    <row r="40" spans="2:8" s="39" customFormat="1" ht="30" customHeight="1" thickBot="1" x14ac:dyDescent="0.3">
      <c r="B40" s="61" t="s">
        <v>39</v>
      </c>
      <c r="C40" s="133" t="s">
        <v>40</v>
      </c>
      <c r="D40" s="132"/>
      <c r="E40" s="61" t="s">
        <v>41</v>
      </c>
      <c r="F40" s="253" t="s">
        <v>42</v>
      </c>
      <c r="G40" s="254"/>
      <c r="H40" s="150"/>
    </row>
    <row r="41" spans="2:8" s="43" customFormat="1" x14ac:dyDescent="0.3">
      <c r="B41" s="40" t="s">
        <v>28</v>
      </c>
      <c r="C41" s="41">
        <v>3</v>
      </c>
      <c r="D41" s="124" t="str">
        <f xml:space="preserve"> IF(C41="","",setValueToTime(C41))</f>
        <v xml:space="preserve"> 15 min</v>
      </c>
      <c r="E41" s="42" t="s">
        <v>244</v>
      </c>
      <c r="F41" s="262"/>
      <c r="G41" s="256"/>
      <c r="H41" s="151"/>
    </row>
    <row r="42" spans="2:8" s="43" customFormat="1" x14ac:dyDescent="0.3">
      <c r="B42" s="44" t="s">
        <v>28</v>
      </c>
      <c r="C42" s="45">
        <v>7</v>
      </c>
      <c r="D42" s="125" t="str">
        <f t="shared" ref="D42:D46" si="5" xml:space="preserve"> IF(C42="","",setValueToTime(C42))</f>
        <v xml:space="preserve"> 35 min</v>
      </c>
      <c r="E42" s="46" t="s">
        <v>245</v>
      </c>
      <c r="F42" s="257"/>
      <c r="G42" s="258"/>
      <c r="H42" s="151"/>
    </row>
    <row r="43" spans="2:8" s="43" customFormat="1" ht="40.5" x14ac:dyDescent="0.3">
      <c r="B43" s="44" t="s">
        <v>32</v>
      </c>
      <c r="C43" s="45">
        <v>12</v>
      </c>
      <c r="D43" s="125" t="str">
        <f t="shared" si="5"/>
        <v>1h</v>
      </c>
      <c r="E43" s="183" t="s">
        <v>246</v>
      </c>
      <c r="F43" s="257"/>
      <c r="G43" s="258"/>
      <c r="H43" s="151"/>
    </row>
    <row r="44" spans="2:8" s="43" customFormat="1" ht="40.5" x14ac:dyDescent="0.3">
      <c r="B44" s="44" t="s">
        <v>32</v>
      </c>
      <c r="C44" s="45">
        <v>12</v>
      </c>
      <c r="D44" s="125" t="str">
        <f t="shared" si="5"/>
        <v>1h</v>
      </c>
      <c r="E44" s="46" t="s">
        <v>247</v>
      </c>
      <c r="F44" s="259" t="s">
        <v>248</v>
      </c>
      <c r="G44" s="258"/>
      <c r="H44" s="151"/>
    </row>
    <row r="45" spans="2:8" s="43" customFormat="1" x14ac:dyDescent="0.3">
      <c r="B45" s="45" t="s">
        <v>32</v>
      </c>
      <c r="C45" s="45">
        <v>2</v>
      </c>
      <c r="D45" s="126" t="str">
        <f t="shared" si="5"/>
        <v xml:space="preserve"> 10 min</v>
      </c>
      <c r="E45" s="46" t="s">
        <v>249</v>
      </c>
      <c r="F45" s="257"/>
      <c r="G45" s="258"/>
      <c r="H45" s="151"/>
    </row>
    <row r="46" spans="2:8" s="43" customFormat="1" ht="27.75" thickBot="1" x14ac:dyDescent="0.35">
      <c r="B46" s="47" t="s">
        <v>31</v>
      </c>
      <c r="C46" s="47">
        <v>2</v>
      </c>
      <c r="D46" s="127" t="str">
        <f t="shared" si="5"/>
        <v xml:space="preserve"> 10 min</v>
      </c>
      <c r="E46" s="48" t="s">
        <v>222</v>
      </c>
      <c r="F46" s="260"/>
      <c r="G46" s="261"/>
      <c r="H46" s="151"/>
    </row>
    <row r="47" spans="2:8" s="43" customFormat="1" ht="15" thickBot="1" x14ac:dyDescent="0.35">
      <c r="B47" s="134" t="s">
        <v>44</v>
      </c>
      <c r="C47" s="66">
        <f>SUM(C41:C46)</f>
        <v>38</v>
      </c>
      <c r="D47" s="134" t="str">
        <f xml:space="preserve"> setValueToTime(C47)</f>
        <v>3h 10 min</v>
      </c>
      <c r="E47" s="95"/>
      <c r="F47" s="251"/>
      <c r="G47" s="252"/>
      <c r="H47" s="151"/>
    </row>
    <row r="48" spans="2:8" s="43" customFormat="1" ht="15" thickBot="1" x14ac:dyDescent="0.35">
      <c r="B48" s="60"/>
      <c r="C48" s="60"/>
      <c r="D48" s="60"/>
      <c r="E48" s="60"/>
      <c r="F48" s="60"/>
      <c r="G48" s="60"/>
      <c r="H48" s="151"/>
    </row>
    <row r="49" spans="2:8" s="39" customFormat="1" ht="30" customHeight="1" thickBot="1" x14ac:dyDescent="0.3">
      <c r="B49" s="128" t="s">
        <v>37</v>
      </c>
      <c r="C49" s="136">
        <v>13</v>
      </c>
      <c r="D49" s="136"/>
      <c r="E49" s="129" t="s">
        <v>38</v>
      </c>
      <c r="F49" s="130" t="s">
        <v>127</v>
      </c>
      <c r="G49" s="131" t="s">
        <v>68</v>
      </c>
      <c r="H49" s="150"/>
    </row>
    <row r="50" spans="2:8" s="39" customFormat="1" ht="30" customHeight="1" thickBot="1" x14ac:dyDescent="0.3">
      <c r="B50" s="61" t="s">
        <v>39</v>
      </c>
      <c r="C50" s="133" t="s">
        <v>40</v>
      </c>
      <c r="D50" s="132"/>
      <c r="E50" s="61" t="s">
        <v>41</v>
      </c>
      <c r="F50" s="253" t="s">
        <v>42</v>
      </c>
      <c r="G50" s="254"/>
      <c r="H50" s="150"/>
    </row>
    <row r="51" spans="2:8" s="43" customFormat="1" ht="40.5" x14ac:dyDescent="0.3">
      <c r="B51" s="40" t="s">
        <v>60</v>
      </c>
      <c r="C51" s="41">
        <v>3</v>
      </c>
      <c r="D51" s="124" t="str">
        <f xml:space="preserve"> IF(C51="","",setValueToTime(C51))</f>
        <v xml:space="preserve"> 15 min</v>
      </c>
      <c r="E51" s="42" t="s">
        <v>234</v>
      </c>
      <c r="F51" s="262"/>
      <c r="G51" s="256"/>
      <c r="H51" s="151"/>
    </row>
    <row r="52" spans="2:8" s="43" customFormat="1" x14ac:dyDescent="0.3">
      <c r="B52" s="44" t="s">
        <v>28</v>
      </c>
      <c r="C52" s="45">
        <v>2</v>
      </c>
      <c r="D52" s="125" t="str">
        <f t="shared" ref="D52:D58" si="6" xml:space="preserve"> IF(C52="","",setValueToTime(C52))</f>
        <v xml:space="preserve"> 10 min</v>
      </c>
      <c r="E52" s="46" t="s">
        <v>236</v>
      </c>
      <c r="F52" s="257"/>
      <c r="G52" s="258"/>
      <c r="H52" s="151"/>
    </row>
    <row r="53" spans="2:8" s="43" customFormat="1" ht="27" x14ac:dyDescent="0.3">
      <c r="B53" s="44" t="s">
        <v>32</v>
      </c>
      <c r="C53" s="45">
        <v>12</v>
      </c>
      <c r="D53" s="125" t="str">
        <f t="shared" si="6"/>
        <v>1h</v>
      </c>
      <c r="E53" s="46" t="s">
        <v>237</v>
      </c>
      <c r="F53" s="257"/>
      <c r="G53" s="258"/>
      <c r="H53" s="151"/>
    </row>
    <row r="54" spans="2:8" s="43" customFormat="1" x14ac:dyDescent="0.3">
      <c r="B54" s="44" t="s">
        <v>32</v>
      </c>
      <c r="C54" s="45">
        <v>2</v>
      </c>
      <c r="D54" s="125" t="str">
        <f t="shared" si="6"/>
        <v xml:space="preserve"> 10 min</v>
      </c>
      <c r="E54" s="46" t="s">
        <v>238</v>
      </c>
      <c r="F54" s="257"/>
      <c r="G54" s="258"/>
      <c r="H54" s="151"/>
    </row>
    <row r="55" spans="2:8" s="43" customFormat="1" ht="27" x14ac:dyDescent="0.3">
      <c r="B55" s="45" t="s">
        <v>57</v>
      </c>
      <c r="C55" s="45">
        <v>1</v>
      </c>
      <c r="D55" s="126" t="str">
        <f t="shared" si="6"/>
        <v xml:space="preserve"> 5 min</v>
      </c>
      <c r="E55" s="46" t="s">
        <v>239</v>
      </c>
      <c r="F55" s="257"/>
      <c r="G55" s="258"/>
      <c r="H55" s="151"/>
    </row>
    <row r="56" spans="2:8" s="43" customFormat="1" ht="40.5" x14ac:dyDescent="0.3">
      <c r="B56" s="45" t="s">
        <v>60</v>
      </c>
      <c r="C56" s="45">
        <v>3</v>
      </c>
      <c r="D56" s="126" t="str">
        <f t="shared" si="6"/>
        <v xml:space="preserve"> 15 min</v>
      </c>
      <c r="E56" s="46" t="s">
        <v>240</v>
      </c>
      <c r="F56" s="257"/>
      <c r="G56" s="258"/>
      <c r="H56" s="151"/>
    </row>
    <row r="57" spans="2:8" s="43" customFormat="1" x14ac:dyDescent="0.3">
      <c r="B57" s="45" t="s">
        <v>32</v>
      </c>
      <c r="C57" s="45">
        <v>10</v>
      </c>
      <c r="D57" s="126" t="str">
        <f xml:space="preserve"> IF(C57="","",setValueToTime(C57))</f>
        <v xml:space="preserve"> 50 min</v>
      </c>
      <c r="E57" s="46" t="s">
        <v>241</v>
      </c>
      <c r="F57" s="257"/>
      <c r="G57" s="258"/>
      <c r="H57" s="151"/>
    </row>
    <row r="58" spans="2:8" s="43" customFormat="1" ht="41.25" thickBot="1" x14ac:dyDescent="0.35">
      <c r="B58" s="47" t="s">
        <v>31</v>
      </c>
      <c r="C58" s="47">
        <v>5</v>
      </c>
      <c r="D58" s="127" t="str">
        <f t="shared" si="6"/>
        <v xml:space="preserve"> 25 min</v>
      </c>
      <c r="E58" s="48" t="s">
        <v>242</v>
      </c>
      <c r="F58" s="260"/>
      <c r="G58" s="261"/>
      <c r="H58" s="151"/>
    </row>
    <row r="59" spans="2:8" s="43" customFormat="1" ht="15" thickBot="1" x14ac:dyDescent="0.35">
      <c r="B59" s="134" t="s">
        <v>44</v>
      </c>
      <c r="C59" s="66">
        <f>SUM(C51:C58)</f>
        <v>38</v>
      </c>
      <c r="D59" s="134" t="str">
        <f xml:space="preserve"> setValueToTime(C59)</f>
        <v>3h 10 min</v>
      </c>
      <c r="E59" s="95"/>
      <c r="F59" s="251"/>
      <c r="G59" s="252"/>
      <c r="H59" s="151"/>
    </row>
    <row r="60" spans="2:8" s="43" customFormat="1" ht="15" thickBot="1" x14ac:dyDescent="0.35">
      <c r="B60" s="60"/>
      <c r="C60" s="60"/>
      <c r="D60" s="60"/>
      <c r="E60" s="60"/>
      <c r="F60" s="60"/>
      <c r="G60" s="60"/>
      <c r="H60" s="151"/>
    </row>
    <row r="61" spans="2:8" s="39" customFormat="1" ht="30" customHeight="1" thickBot="1" x14ac:dyDescent="0.3">
      <c r="B61" s="128" t="s">
        <v>37</v>
      </c>
      <c r="C61" s="136">
        <v>12</v>
      </c>
      <c r="D61" s="136"/>
      <c r="E61" s="129" t="s">
        <v>38</v>
      </c>
      <c r="F61" s="130" t="s">
        <v>127</v>
      </c>
      <c r="G61" s="131" t="s">
        <v>66</v>
      </c>
      <c r="H61" s="150"/>
    </row>
    <row r="62" spans="2:8" s="39" customFormat="1" ht="30" customHeight="1" thickBot="1" x14ac:dyDescent="0.3">
      <c r="B62" s="61" t="s">
        <v>39</v>
      </c>
      <c r="C62" s="133" t="s">
        <v>40</v>
      </c>
      <c r="D62" s="132"/>
      <c r="E62" s="61" t="s">
        <v>41</v>
      </c>
      <c r="F62" s="253" t="s">
        <v>42</v>
      </c>
      <c r="G62" s="254"/>
      <c r="H62" s="150"/>
    </row>
    <row r="63" spans="2:8" s="43" customFormat="1" ht="27" x14ac:dyDescent="0.3">
      <c r="B63" s="40" t="s">
        <v>56</v>
      </c>
      <c r="C63" s="41">
        <v>3</v>
      </c>
      <c r="D63" s="124" t="str">
        <f xml:space="preserve"> IF(C63="","",setValueToTime(C63))</f>
        <v xml:space="preserve"> 15 min</v>
      </c>
      <c r="E63" s="42" t="s">
        <v>229</v>
      </c>
      <c r="F63" s="262"/>
      <c r="G63" s="256"/>
      <c r="H63" s="151"/>
    </row>
    <row r="64" spans="2:8" s="43" customFormat="1" ht="40.5" x14ac:dyDescent="0.3">
      <c r="B64" s="44" t="s">
        <v>53</v>
      </c>
      <c r="C64" s="45">
        <v>1</v>
      </c>
      <c r="D64" s="125" t="str">
        <f t="shared" ref="D64:D71" si="7" xml:space="preserve"> IF(C64="","",setValueToTime(C64))</f>
        <v xml:space="preserve"> 5 min</v>
      </c>
      <c r="E64" s="46" t="s">
        <v>227</v>
      </c>
      <c r="F64" s="257"/>
      <c r="G64" s="258"/>
      <c r="H64" s="151"/>
    </row>
    <row r="65" spans="2:8" s="43" customFormat="1" ht="40.5" x14ac:dyDescent="0.3">
      <c r="B65" s="44" t="s">
        <v>60</v>
      </c>
      <c r="C65" s="45">
        <v>2</v>
      </c>
      <c r="D65" s="125" t="str">
        <f t="shared" si="7"/>
        <v xml:space="preserve"> 10 min</v>
      </c>
      <c r="E65" s="46" t="s">
        <v>228</v>
      </c>
      <c r="F65" s="257"/>
      <c r="G65" s="258"/>
      <c r="H65" s="151"/>
    </row>
    <row r="66" spans="2:8" s="43" customFormat="1" ht="123.75" customHeight="1" x14ac:dyDescent="0.3">
      <c r="B66" s="44" t="s">
        <v>56</v>
      </c>
      <c r="C66" s="45">
        <v>10</v>
      </c>
      <c r="D66" s="125" t="str">
        <f t="shared" si="7"/>
        <v xml:space="preserve"> 50 min</v>
      </c>
      <c r="E66" s="46" t="s">
        <v>230</v>
      </c>
      <c r="F66" s="259" t="s">
        <v>256</v>
      </c>
      <c r="G66" s="258"/>
      <c r="H66" s="151"/>
    </row>
    <row r="67" spans="2:8" s="43" customFormat="1" ht="54" customHeight="1" x14ac:dyDescent="0.3">
      <c r="B67" s="45" t="s">
        <v>60</v>
      </c>
      <c r="C67" s="45">
        <v>12</v>
      </c>
      <c r="D67" s="126" t="str">
        <f t="shared" si="7"/>
        <v>1h</v>
      </c>
      <c r="E67" s="46" t="s">
        <v>231</v>
      </c>
      <c r="F67" s="257"/>
      <c r="G67" s="258"/>
      <c r="H67" s="151"/>
    </row>
    <row r="68" spans="2:8" s="43" customFormat="1" ht="54" x14ac:dyDescent="0.3">
      <c r="B68" s="45" t="s">
        <v>60</v>
      </c>
      <c r="C68" s="45">
        <v>12</v>
      </c>
      <c r="D68" s="126" t="str">
        <f t="shared" si="7"/>
        <v>1h</v>
      </c>
      <c r="E68" s="46" t="s">
        <v>232</v>
      </c>
      <c r="F68" s="257"/>
      <c r="G68" s="258"/>
      <c r="H68" s="151"/>
    </row>
    <row r="69" spans="2:8" s="43" customFormat="1" ht="40.5" x14ac:dyDescent="0.3">
      <c r="B69" s="45" t="s">
        <v>59</v>
      </c>
      <c r="C69" s="45">
        <v>1</v>
      </c>
      <c r="D69" s="126" t="str">
        <f t="shared" ref="D69" si="8" xml:space="preserve"> IF(C69="","",setValueToTime(C69))</f>
        <v xml:space="preserve"> 5 min</v>
      </c>
      <c r="E69" s="46" t="s">
        <v>233</v>
      </c>
      <c r="F69" s="257"/>
      <c r="G69" s="258"/>
      <c r="H69" s="151"/>
    </row>
    <row r="70" spans="2:8" s="43" customFormat="1" ht="40.5" x14ac:dyDescent="0.3">
      <c r="B70" s="45" t="s">
        <v>60</v>
      </c>
      <c r="C70" s="45">
        <v>4</v>
      </c>
      <c r="D70" s="126" t="str">
        <f t="shared" si="7"/>
        <v xml:space="preserve"> 20 min</v>
      </c>
      <c r="E70" s="46" t="s">
        <v>235</v>
      </c>
      <c r="F70" s="257"/>
      <c r="G70" s="258"/>
      <c r="H70" s="151"/>
    </row>
    <row r="71" spans="2:8" s="43" customFormat="1" ht="27.75" thickBot="1" x14ac:dyDescent="0.35">
      <c r="B71" s="47" t="s">
        <v>31</v>
      </c>
      <c r="C71" s="47">
        <v>3</v>
      </c>
      <c r="D71" s="127" t="str">
        <f t="shared" si="7"/>
        <v xml:space="preserve"> 15 min</v>
      </c>
      <c r="E71" s="48" t="s">
        <v>222</v>
      </c>
      <c r="F71" s="260"/>
      <c r="G71" s="261"/>
      <c r="H71" s="151"/>
    </row>
    <row r="72" spans="2:8" s="43" customFormat="1" ht="15" thickBot="1" x14ac:dyDescent="0.35">
      <c r="B72" s="134" t="s">
        <v>44</v>
      </c>
      <c r="C72" s="66">
        <f>SUM(C63:C71)</f>
        <v>48</v>
      </c>
      <c r="D72" s="134" t="str">
        <f xml:space="preserve"> setValueToTime(C72)</f>
        <v>4h</v>
      </c>
      <c r="E72" s="95"/>
      <c r="F72" s="251"/>
      <c r="G72" s="252"/>
      <c r="H72" s="151"/>
    </row>
    <row r="73" spans="2:8" s="43" customFormat="1" ht="15" thickBot="1" x14ac:dyDescent="0.35">
      <c r="B73" s="60"/>
      <c r="C73" s="60"/>
      <c r="D73" s="60"/>
      <c r="E73" s="60"/>
      <c r="F73" s="60"/>
      <c r="G73" s="60"/>
      <c r="H73" s="151"/>
    </row>
    <row r="74" spans="2:8" s="39" customFormat="1" ht="30" customHeight="1" thickBot="1" x14ac:dyDescent="0.3">
      <c r="B74" s="128" t="s">
        <v>37</v>
      </c>
      <c r="C74" s="136">
        <v>11</v>
      </c>
      <c r="D74" s="136"/>
      <c r="E74" s="129" t="s">
        <v>38</v>
      </c>
      <c r="F74" s="130" t="s">
        <v>130</v>
      </c>
      <c r="G74" s="131" t="s">
        <v>68</v>
      </c>
      <c r="H74" s="150"/>
    </row>
    <row r="75" spans="2:8" s="39" customFormat="1" ht="30" customHeight="1" thickBot="1" x14ac:dyDescent="0.3">
      <c r="B75" s="61" t="s">
        <v>39</v>
      </c>
      <c r="C75" s="133" t="s">
        <v>40</v>
      </c>
      <c r="D75" s="132"/>
      <c r="E75" s="61" t="s">
        <v>41</v>
      </c>
      <c r="F75" s="253" t="s">
        <v>42</v>
      </c>
      <c r="G75" s="254"/>
      <c r="H75" s="150"/>
    </row>
    <row r="76" spans="2:8" s="43" customFormat="1" x14ac:dyDescent="0.3">
      <c r="B76" s="40" t="s">
        <v>28</v>
      </c>
      <c r="C76" s="41">
        <v>2</v>
      </c>
      <c r="D76" s="124" t="str">
        <f xml:space="preserve"> IF(C76="","",setValueToTime(C76))</f>
        <v xml:space="preserve"> 10 min</v>
      </c>
      <c r="E76" s="42" t="s">
        <v>221</v>
      </c>
      <c r="F76" s="262"/>
      <c r="G76" s="256"/>
      <c r="H76" s="151"/>
    </row>
    <row r="77" spans="2:8" s="43" customFormat="1" ht="40.5" x14ac:dyDescent="0.3">
      <c r="B77" s="44" t="s">
        <v>60</v>
      </c>
      <c r="C77" s="45">
        <v>12</v>
      </c>
      <c r="D77" s="125" t="str">
        <f t="shared" ref="D77:D80" si="9" xml:space="preserve"> IF(C77="","",setValueToTime(C77))</f>
        <v>1h</v>
      </c>
      <c r="E77" s="46" t="s">
        <v>224</v>
      </c>
      <c r="F77" s="259" t="s">
        <v>225</v>
      </c>
      <c r="G77" s="258"/>
      <c r="H77" s="151"/>
    </row>
    <row r="78" spans="2:8" s="43" customFormat="1" ht="40.5" x14ac:dyDescent="0.3">
      <c r="B78" s="44" t="s">
        <v>60</v>
      </c>
      <c r="C78" s="45">
        <v>12</v>
      </c>
      <c r="D78" s="125" t="str">
        <f t="shared" si="9"/>
        <v>1h</v>
      </c>
      <c r="E78" s="46" t="s">
        <v>223</v>
      </c>
      <c r="F78" s="257"/>
      <c r="G78" s="258"/>
      <c r="H78" s="151"/>
    </row>
    <row r="79" spans="2:8" s="43" customFormat="1" ht="40.5" x14ac:dyDescent="0.3">
      <c r="B79" s="44" t="s">
        <v>60</v>
      </c>
      <c r="C79" s="45">
        <v>9</v>
      </c>
      <c r="D79" s="125" t="str">
        <f t="shared" si="9"/>
        <v xml:space="preserve"> 45 min</v>
      </c>
      <c r="E79" s="46" t="s">
        <v>226</v>
      </c>
      <c r="F79" s="257"/>
      <c r="G79" s="258"/>
      <c r="H79" s="151"/>
    </row>
    <row r="80" spans="2:8" s="43" customFormat="1" ht="27.75" thickBot="1" x14ac:dyDescent="0.35">
      <c r="B80" s="47" t="s">
        <v>31</v>
      </c>
      <c r="C80" s="47">
        <v>3</v>
      </c>
      <c r="D80" s="127" t="str">
        <f t="shared" si="9"/>
        <v xml:space="preserve"> 15 min</v>
      </c>
      <c r="E80" s="48" t="s">
        <v>203</v>
      </c>
      <c r="F80" s="260"/>
      <c r="G80" s="261"/>
      <c r="H80" s="151"/>
    </row>
    <row r="81" spans="2:8" s="43" customFormat="1" ht="15" thickBot="1" x14ac:dyDescent="0.35">
      <c r="B81" s="134" t="s">
        <v>44</v>
      </c>
      <c r="C81" s="66">
        <f>SUM(C76:C80)</f>
        <v>38</v>
      </c>
      <c r="D81" s="134" t="str">
        <f xml:space="preserve"> setValueToTime(C81)</f>
        <v>3h 10 min</v>
      </c>
      <c r="E81" s="95"/>
      <c r="F81" s="251"/>
      <c r="G81" s="252"/>
      <c r="H81" s="151"/>
    </row>
    <row r="82" spans="2:8" s="43" customFormat="1" ht="15" thickBot="1" x14ac:dyDescent="0.35">
      <c r="B82" s="60"/>
      <c r="C82" s="60"/>
      <c r="D82" s="60"/>
      <c r="E82" s="60"/>
      <c r="F82" s="60"/>
      <c r="G82" s="60"/>
      <c r="H82" s="151"/>
    </row>
    <row r="83" spans="2:8" s="39" customFormat="1" ht="30" customHeight="1" thickBot="1" x14ac:dyDescent="0.3">
      <c r="B83" s="128" t="s">
        <v>37</v>
      </c>
      <c r="C83" s="136">
        <v>10</v>
      </c>
      <c r="D83" s="136"/>
      <c r="E83" s="129" t="s">
        <v>38</v>
      </c>
      <c r="F83" s="130" t="s">
        <v>130</v>
      </c>
      <c r="G83" s="131" t="s">
        <v>66</v>
      </c>
      <c r="H83" s="150"/>
    </row>
    <row r="84" spans="2:8" s="39" customFormat="1" ht="30" customHeight="1" thickBot="1" x14ac:dyDescent="0.3">
      <c r="B84" s="61" t="s">
        <v>39</v>
      </c>
      <c r="C84" s="133" t="s">
        <v>40</v>
      </c>
      <c r="D84" s="132"/>
      <c r="E84" s="61" t="s">
        <v>41</v>
      </c>
      <c r="F84" s="253" t="s">
        <v>42</v>
      </c>
      <c r="G84" s="254"/>
      <c r="H84" s="150"/>
    </row>
    <row r="85" spans="2:8" s="43" customFormat="1" ht="40.5" x14ac:dyDescent="0.3">
      <c r="B85" s="40" t="s">
        <v>59</v>
      </c>
      <c r="C85" s="41">
        <v>7</v>
      </c>
      <c r="D85" s="124" t="str">
        <f xml:space="preserve"> IF(C85="","",setValueToTime(C85))</f>
        <v xml:space="preserve"> 35 min</v>
      </c>
      <c r="E85" s="42" t="s">
        <v>213</v>
      </c>
      <c r="F85" s="262"/>
      <c r="G85" s="256"/>
      <c r="H85" s="151"/>
    </row>
    <row r="86" spans="2:8" s="43" customFormat="1" ht="67.5" customHeight="1" x14ac:dyDescent="0.3">
      <c r="B86" s="44" t="s">
        <v>58</v>
      </c>
      <c r="C86" s="45">
        <v>1</v>
      </c>
      <c r="D86" s="125" t="str">
        <f t="shared" ref="D86:D91" si="10" xml:space="preserve"> IF(C86="","",setValueToTime(C86))</f>
        <v xml:space="preserve"> 5 min</v>
      </c>
      <c r="E86" s="46" t="s">
        <v>214</v>
      </c>
      <c r="F86" s="259" t="s">
        <v>215</v>
      </c>
      <c r="G86" s="258"/>
      <c r="H86" s="151"/>
    </row>
    <row r="87" spans="2:8" s="43" customFormat="1" ht="84" customHeight="1" x14ac:dyDescent="0.3">
      <c r="B87" s="44" t="s">
        <v>60</v>
      </c>
      <c r="C87" s="45">
        <v>12</v>
      </c>
      <c r="D87" s="125" t="str">
        <f t="shared" si="10"/>
        <v>1h</v>
      </c>
      <c r="E87" s="183" t="s">
        <v>262</v>
      </c>
      <c r="F87" s="259" t="s">
        <v>216</v>
      </c>
      <c r="G87" s="258"/>
      <c r="H87" s="151"/>
    </row>
    <row r="88" spans="2:8" s="43" customFormat="1" ht="66" customHeight="1" x14ac:dyDescent="0.3">
      <c r="B88" s="44" t="s">
        <v>60</v>
      </c>
      <c r="C88" s="45">
        <v>12</v>
      </c>
      <c r="D88" s="125" t="str">
        <f t="shared" si="10"/>
        <v>1h</v>
      </c>
      <c r="E88" s="46" t="s">
        <v>218</v>
      </c>
      <c r="F88" s="259" t="s">
        <v>217</v>
      </c>
      <c r="G88" s="258"/>
      <c r="H88" s="151"/>
    </row>
    <row r="89" spans="2:8" s="43" customFormat="1" ht="40.5" x14ac:dyDescent="0.3">
      <c r="B89" s="45" t="s">
        <v>60</v>
      </c>
      <c r="C89" s="45">
        <v>7</v>
      </c>
      <c r="D89" s="126" t="str">
        <f t="shared" si="10"/>
        <v xml:space="preserve"> 35 min</v>
      </c>
      <c r="E89" s="46" t="s">
        <v>219</v>
      </c>
      <c r="F89" s="257"/>
      <c r="G89" s="258"/>
      <c r="H89" s="151"/>
    </row>
    <row r="90" spans="2:8" s="43" customFormat="1" ht="40.5" x14ac:dyDescent="0.3">
      <c r="B90" s="45" t="s">
        <v>58</v>
      </c>
      <c r="C90" s="45">
        <v>7</v>
      </c>
      <c r="D90" s="126" t="str">
        <f t="shared" si="10"/>
        <v xml:space="preserve"> 35 min</v>
      </c>
      <c r="E90" s="46" t="s">
        <v>220</v>
      </c>
      <c r="F90" s="257"/>
      <c r="G90" s="258"/>
      <c r="H90" s="151"/>
    </row>
    <row r="91" spans="2:8" s="43" customFormat="1" ht="27.75" thickBot="1" x14ac:dyDescent="0.35">
      <c r="B91" s="47" t="s">
        <v>31</v>
      </c>
      <c r="C91" s="47">
        <v>2</v>
      </c>
      <c r="D91" s="127" t="str">
        <f t="shared" si="10"/>
        <v xml:space="preserve"> 10 min</v>
      </c>
      <c r="E91" s="48" t="s">
        <v>222</v>
      </c>
      <c r="F91" s="260"/>
      <c r="G91" s="261"/>
      <c r="H91" s="151"/>
    </row>
    <row r="92" spans="2:8" s="43" customFormat="1" ht="15" thickBot="1" x14ac:dyDescent="0.35">
      <c r="B92" s="134" t="s">
        <v>44</v>
      </c>
      <c r="C92" s="66">
        <f>SUM(C85:C91)</f>
        <v>48</v>
      </c>
      <c r="D92" s="134" t="str">
        <f xml:space="preserve"> setValueToTime(C92)</f>
        <v>4h</v>
      </c>
      <c r="E92" s="95"/>
      <c r="F92" s="251"/>
      <c r="G92" s="252"/>
      <c r="H92" s="151"/>
    </row>
    <row r="93" spans="2:8" s="43" customFormat="1" ht="15" thickBot="1" x14ac:dyDescent="0.35">
      <c r="B93" s="60"/>
      <c r="C93" s="60"/>
      <c r="D93" s="60"/>
      <c r="E93" s="60"/>
      <c r="F93" s="60"/>
      <c r="G93" s="60"/>
      <c r="H93" s="151"/>
    </row>
    <row r="94" spans="2:8" s="39" customFormat="1" ht="30" customHeight="1" thickBot="1" x14ac:dyDescent="0.3">
      <c r="B94" s="128" t="s">
        <v>37</v>
      </c>
      <c r="C94" s="136">
        <v>9</v>
      </c>
      <c r="D94" s="136"/>
      <c r="E94" s="129" t="s">
        <v>38</v>
      </c>
      <c r="F94" s="130" t="s">
        <v>133</v>
      </c>
      <c r="G94" s="131" t="s">
        <v>66</v>
      </c>
      <c r="H94" s="150"/>
    </row>
    <row r="95" spans="2:8" s="39" customFormat="1" ht="30" customHeight="1" thickBot="1" x14ac:dyDescent="0.3">
      <c r="B95" s="61" t="s">
        <v>39</v>
      </c>
      <c r="C95" s="133" t="s">
        <v>40</v>
      </c>
      <c r="D95" s="132"/>
      <c r="E95" s="61" t="s">
        <v>41</v>
      </c>
      <c r="F95" s="253" t="s">
        <v>42</v>
      </c>
      <c r="G95" s="254"/>
      <c r="H95" s="150"/>
    </row>
    <row r="96" spans="2:8" s="43" customFormat="1" ht="27" x14ac:dyDescent="0.3">
      <c r="B96" s="40" t="s">
        <v>56</v>
      </c>
      <c r="C96" s="41">
        <v>8</v>
      </c>
      <c r="D96" s="124" t="str">
        <f xml:space="preserve"> IF(C96="","",setValueToTime(C96))</f>
        <v xml:space="preserve"> 40 min</v>
      </c>
      <c r="E96" s="42" t="s">
        <v>205</v>
      </c>
      <c r="F96" s="262"/>
      <c r="G96" s="256"/>
      <c r="H96" s="151"/>
    </row>
    <row r="97" spans="2:8" s="43" customFormat="1" x14ac:dyDescent="0.3">
      <c r="B97" s="44" t="s">
        <v>28</v>
      </c>
      <c r="C97" s="45">
        <v>3</v>
      </c>
      <c r="D97" s="125" t="str">
        <f t="shared" ref="D97:D102" si="11" xml:space="preserve"> IF(C97="","",setValueToTime(C97))</f>
        <v xml:space="preserve"> 15 min</v>
      </c>
      <c r="E97" s="46" t="s">
        <v>206</v>
      </c>
      <c r="F97" s="257"/>
      <c r="G97" s="258"/>
      <c r="H97" s="151"/>
    </row>
    <row r="98" spans="2:8" s="43" customFormat="1" ht="40.5" x14ac:dyDescent="0.3">
      <c r="B98" s="44" t="s">
        <v>53</v>
      </c>
      <c r="C98" s="45">
        <v>7</v>
      </c>
      <c r="D98" s="125" t="str">
        <f xml:space="preserve"> IF(C98="","",setValueToTime(C98))</f>
        <v xml:space="preserve"> 35 min</v>
      </c>
      <c r="E98" s="46" t="s">
        <v>207</v>
      </c>
      <c r="F98" s="257"/>
      <c r="G98" s="258"/>
      <c r="H98" s="151"/>
    </row>
    <row r="99" spans="2:8" s="43" customFormat="1" ht="54" x14ac:dyDescent="0.3">
      <c r="B99" s="44" t="s">
        <v>58</v>
      </c>
      <c r="C99" s="45">
        <v>10</v>
      </c>
      <c r="D99" s="125" t="str">
        <f t="shared" si="11"/>
        <v xml:space="preserve"> 50 min</v>
      </c>
      <c r="E99" s="46" t="s">
        <v>209</v>
      </c>
      <c r="F99" s="259" t="s">
        <v>208</v>
      </c>
      <c r="G99" s="258"/>
      <c r="H99" s="151"/>
    </row>
    <row r="100" spans="2:8" s="43" customFormat="1" ht="40.5" x14ac:dyDescent="0.3">
      <c r="B100" s="45" t="s">
        <v>57</v>
      </c>
      <c r="C100" s="45">
        <v>2</v>
      </c>
      <c r="D100" s="126" t="str">
        <f t="shared" si="11"/>
        <v xml:space="preserve"> 10 min</v>
      </c>
      <c r="E100" s="46" t="s">
        <v>210</v>
      </c>
      <c r="F100" s="257"/>
      <c r="G100" s="258"/>
      <c r="H100" s="151"/>
    </row>
    <row r="101" spans="2:8" s="43" customFormat="1" ht="52.5" customHeight="1" x14ac:dyDescent="0.3">
      <c r="B101" s="45" t="s">
        <v>60</v>
      </c>
      <c r="C101" s="45">
        <v>5</v>
      </c>
      <c r="D101" s="126" t="str">
        <f xml:space="preserve"> IF(C101="","",setValueToTime(C101))</f>
        <v xml:space="preserve"> 25 min</v>
      </c>
      <c r="E101" s="46" t="s">
        <v>211</v>
      </c>
      <c r="F101" s="259" t="s">
        <v>212</v>
      </c>
      <c r="G101" s="258"/>
      <c r="H101" s="151"/>
    </row>
    <row r="102" spans="2:8" s="43" customFormat="1" ht="27.75" thickBot="1" x14ac:dyDescent="0.35">
      <c r="B102" s="47" t="s">
        <v>31</v>
      </c>
      <c r="C102" s="47">
        <v>3</v>
      </c>
      <c r="D102" s="127" t="str">
        <f t="shared" si="11"/>
        <v xml:space="preserve"> 15 min</v>
      </c>
      <c r="E102" s="48" t="s">
        <v>203</v>
      </c>
      <c r="F102" s="260"/>
      <c r="G102" s="261"/>
      <c r="H102" s="151"/>
    </row>
    <row r="103" spans="2:8" s="43" customFormat="1" ht="15" thickBot="1" x14ac:dyDescent="0.35">
      <c r="B103" s="134" t="s">
        <v>44</v>
      </c>
      <c r="C103" s="66">
        <f>SUM(C96:C102)</f>
        <v>38</v>
      </c>
      <c r="D103" s="134" t="str">
        <f xml:space="preserve"> setValueToTime(C103)</f>
        <v>3h 10 min</v>
      </c>
      <c r="E103" s="95"/>
      <c r="F103" s="251"/>
      <c r="G103" s="252"/>
      <c r="H103" s="151"/>
    </row>
    <row r="104" spans="2:8" s="43" customFormat="1" ht="15" thickBot="1" x14ac:dyDescent="0.35">
      <c r="B104" s="60"/>
      <c r="C104" s="60"/>
      <c r="D104" s="60"/>
      <c r="E104" s="60"/>
      <c r="F104" s="60"/>
      <c r="G104" s="60"/>
      <c r="H104" s="151"/>
    </row>
    <row r="105" spans="2:8" s="39" customFormat="1" ht="30" customHeight="1" thickBot="1" x14ac:dyDescent="0.3">
      <c r="B105" s="128" t="s">
        <v>37</v>
      </c>
      <c r="C105" s="136">
        <v>8</v>
      </c>
      <c r="D105" s="136"/>
      <c r="E105" s="129" t="s">
        <v>38</v>
      </c>
      <c r="F105" s="130" t="s">
        <v>135</v>
      </c>
      <c r="G105" s="131" t="s">
        <v>68</v>
      </c>
      <c r="H105" s="150"/>
    </row>
    <row r="106" spans="2:8" s="39" customFormat="1" ht="30" customHeight="1" thickBot="1" x14ac:dyDescent="0.3">
      <c r="B106" s="61" t="s">
        <v>39</v>
      </c>
      <c r="C106" s="133" t="s">
        <v>40</v>
      </c>
      <c r="D106" s="132"/>
      <c r="E106" s="61" t="s">
        <v>41</v>
      </c>
      <c r="F106" s="253" t="s">
        <v>42</v>
      </c>
      <c r="G106" s="254"/>
      <c r="H106" s="150"/>
    </row>
    <row r="107" spans="2:8" s="43" customFormat="1" ht="54" x14ac:dyDescent="0.3">
      <c r="B107" s="40" t="s">
        <v>57</v>
      </c>
      <c r="C107" s="41">
        <v>12</v>
      </c>
      <c r="D107" s="124" t="str">
        <f xml:space="preserve"> IF(C107="","",setValueToTime(C107))</f>
        <v>1h</v>
      </c>
      <c r="E107" s="42" t="s">
        <v>198</v>
      </c>
      <c r="F107" s="255" t="s">
        <v>197</v>
      </c>
      <c r="G107" s="256"/>
      <c r="H107" s="151"/>
    </row>
    <row r="108" spans="2:8" s="43" customFormat="1" ht="27" x14ac:dyDescent="0.3">
      <c r="B108" s="44" t="s">
        <v>57</v>
      </c>
      <c r="C108" s="45">
        <v>6</v>
      </c>
      <c r="D108" s="125" t="str">
        <f t="shared" ref="D108:D111" si="12" xml:space="preserve"> IF(C108="","",setValueToTime(C108))</f>
        <v xml:space="preserve"> 30 min</v>
      </c>
      <c r="E108" s="46" t="s">
        <v>199</v>
      </c>
      <c r="F108" s="257"/>
      <c r="G108" s="258"/>
      <c r="H108" s="151"/>
    </row>
    <row r="109" spans="2:8" s="43" customFormat="1" ht="67.5" x14ac:dyDescent="0.3">
      <c r="B109" s="44" t="s">
        <v>58</v>
      </c>
      <c r="C109" s="45">
        <v>12</v>
      </c>
      <c r="D109" s="125" t="str">
        <f t="shared" si="12"/>
        <v>1h</v>
      </c>
      <c r="E109" s="46" t="s">
        <v>201</v>
      </c>
      <c r="F109" s="259" t="s">
        <v>200</v>
      </c>
      <c r="G109" s="258"/>
      <c r="H109" s="151"/>
    </row>
    <row r="110" spans="2:8" s="43" customFormat="1" ht="40.5" x14ac:dyDescent="0.3">
      <c r="B110" s="44" t="s">
        <v>58</v>
      </c>
      <c r="C110" s="45">
        <v>5</v>
      </c>
      <c r="D110" s="125" t="str">
        <f t="shared" si="12"/>
        <v xml:space="preserve"> 25 min</v>
      </c>
      <c r="E110" s="46" t="s">
        <v>202</v>
      </c>
      <c r="F110" s="257"/>
      <c r="G110" s="258"/>
      <c r="H110" s="151"/>
    </row>
    <row r="111" spans="2:8" s="43" customFormat="1" ht="27.75" thickBot="1" x14ac:dyDescent="0.35">
      <c r="B111" s="47" t="s">
        <v>31</v>
      </c>
      <c r="C111" s="47">
        <v>3</v>
      </c>
      <c r="D111" s="127" t="str">
        <f t="shared" si="12"/>
        <v xml:space="preserve"> 15 min</v>
      </c>
      <c r="E111" s="48" t="s">
        <v>203</v>
      </c>
      <c r="F111" s="260"/>
      <c r="G111" s="261"/>
      <c r="H111" s="151"/>
    </row>
    <row r="112" spans="2:8" s="43" customFormat="1" ht="15" thickBot="1" x14ac:dyDescent="0.35">
      <c r="B112" s="134" t="s">
        <v>44</v>
      </c>
      <c r="C112" s="66">
        <f>SUM(C107:C111)</f>
        <v>38</v>
      </c>
      <c r="D112" s="134" t="str">
        <f xml:space="preserve"> setValueToTime(C112)</f>
        <v>3h 10 min</v>
      </c>
      <c r="E112" s="95"/>
      <c r="F112" s="251"/>
      <c r="G112" s="252"/>
      <c r="H112" s="151"/>
    </row>
    <row r="113" spans="2:8" s="43" customFormat="1" ht="15" thickBot="1" x14ac:dyDescent="0.35">
      <c r="B113" s="60"/>
      <c r="C113" s="60"/>
      <c r="D113" s="60"/>
      <c r="E113" s="60"/>
      <c r="F113" s="60"/>
      <c r="G113" s="60"/>
      <c r="H113" s="151"/>
    </row>
    <row r="114" spans="2:8" s="39" customFormat="1" ht="30" customHeight="1" thickBot="1" x14ac:dyDescent="0.3">
      <c r="B114" s="128" t="s">
        <v>37</v>
      </c>
      <c r="C114" s="136">
        <v>7</v>
      </c>
      <c r="D114" s="136"/>
      <c r="E114" s="129" t="s">
        <v>38</v>
      </c>
      <c r="F114" s="130" t="s">
        <v>135</v>
      </c>
      <c r="G114" s="131" t="s">
        <v>66</v>
      </c>
      <c r="H114" s="150"/>
    </row>
    <row r="115" spans="2:8" s="39" customFormat="1" ht="30" customHeight="1" thickBot="1" x14ac:dyDescent="0.3">
      <c r="B115" s="61" t="s">
        <v>39</v>
      </c>
      <c r="C115" s="133" t="s">
        <v>40</v>
      </c>
      <c r="D115" s="132"/>
      <c r="E115" s="61" t="s">
        <v>41</v>
      </c>
      <c r="F115" s="253" t="s">
        <v>42</v>
      </c>
      <c r="G115" s="254"/>
      <c r="H115" s="150"/>
    </row>
    <row r="116" spans="2:8" s="43" customFormat="1" ht="40.5" x14ac:dyDescent="0.3">
      <c r="B116" s="40" t="s">
        <v>56</v>
      </c>
      <c r="C116" s="41">
        <v>12</v>
      </c>
      <c r="D116" s="124" t="str">
        <f xml:space="preserve"> IF(C116="","",setValueToTime(C116))</f>
        <v>1h</v>
      </c>
      <c r="E116" s="42" t="s">
        <v>190</v>
      </c>
      <c r="F116" s="262"/>
      <c r="G116" s="256"/>
      <c r="H116" s="151"/>
    </row>
    <row r="117" spans="2:8" s="43" customFormat="1" ht="40.5" x14ac:dyDescent="0.3">
      <c r="B117" s="44" t="s">
        <v>56</v>
      </c>
      <c r="C117" s="45">
        <v>3</v>
      </c>
      <c r="D117" s="125" t="str">
        <f t="shared" ref="D117:D121" si="13" xml:space="preserve"> IF(C117="","",setValueToTime(C117))</f>
        <v xml:space="preserve"> 15 min</v>
      </c>
      <c r="E117" s="46" t="s">
        <v>193</v>
      </c>
      <c r="F117" s="259" t="s">
        <v>192</v>
      </c>
      <c r="G117" s="258"/>
      <c r="H117" s="151"/>
    </row>
    <row r="118" spans="2:8" s="43" customFormat="1" ht="40.5" x14ac:dyDescent="0.3">
      <c r="B118" s="44" t="s">
        <v>179</v>
      </c>
      <c r="C118" s="45">
        <v>2</v>
      </c>
      <c r="D118" s="125" t="str">
        <f t="shared" ref="D118" si="14" xml:space="preserve"> IF(C118="","",setValueToTime(C118))</f>
        <v xml:space="preserve"> 10 min</v>
      </c>
      <c r="E118" s="46" t="s">
        <v>191</v>
      </c>
      <c r="F118" s="257"/>
      <c r="G118" s="258"/>
      <c r="H118" s="151"/>
    </row>
    <row r="119" spans="2:8" s="43" customFormat="1" ht="40.5" x14ac:dyDescent="0.3">
      <c r="B119" s="44" t="s">
        <v>33</v>
      </c>
      <c r="C119" s="45">
        <v>12</v>
      </c>
      <c r="D119" s="125" t="str">
        <f t="shared" si="13"/>
        <v>1h</v>
      </c>
      <c r="E119" s="183" t="s">
        <v>195</v>
      </c>
      <c r="F119" s="257"/>
      <c r="G119" s="258"/>
      <c r="H119" s="151"/>
    </row>
    <row r="120" spans="2:8" s="43" customFormat="1" ht="27" x14ac:dyDescent="0.3">
      <c r="B120" s="45" t="s">
        <v>33</v>
      </c>
      <c r="C120" s="45">
        <v>6</v>
      </c>
      <c r="D120" s="126" t="str">
        <f t="shared" si="13"/>
        <v xml:space="preserve"> 30 min</v>
      </c>
      <c r="E120" s="183" t="s">
        <v>196</v>
      </c>
      <c r="F120" s="257"/>
      <c r="G120" s="258"/>
      <c r="H120" s="151"/>
    </row>
    <row r="121" spans="2:8" s="43" customFormat="1" ht="27.75" thickBot="1" x14ac:dyDescent="0.35">
      <c r="B121" s="47" t="s">
        <v>31</v>
      </c>
      <c r="C121" s="47">
        <v>3</v>
      </c>
      <c r="D121" s="127" t="str">
        <f t="shared" si="13"/>
        <v xml:space="preserve"> 15 min</v>
      </c>
      <c r="E121" s="48" t="s">
        <v>204</v>
      </c>
      <c r="F121" s="260"/>
      <c r="G121" s="261"/>
      <c r="H121" s="151"/>
    </row>
    <row r="122" spans="2:8" s="43" customFormat="1" ht="15" thickBot="1" x14ac:dyDescent="0.35">
      <c r="B122" s="134" t="s">
        <v>44</v>
      </c>
      <c r="C122" s="66">
        <f>SUM(C116:C121)</f>
        <v>38</v>
      </c>
      <c r="D122" s="134" t="str">
        <f xml:space="preserve"> setValueToTime(C122)</f>
        <v>3h 10 min</v>
      </c>
      <c r="E122" s="95"/>
      <c r="F122" s="251"/>
      <c r="G122" s="252"/>
      <c r="H122" s="151"/>
    </row>
    <row r="123" spans="2:8" s="43" customFormat="1" ht="15" thickBot="1" x14ac:dyDescent="0.35">
      <c r="B123" s="60"/>
      <c r="C123" s="60"/>
      <c r="D123" s="60"/>
      <c r="E123" s="60"/>
      <c r="F123" s="60"/>
      <c r="G123" s="60"/>
      <c r="H123" s="151"/>
    </row>
    <row r="124" spans="2:8" s="39" customFormat="1" ht="30" customHeight="1" thickBot="1" x14ac:dyDescent="0.3">
      <c r="B124" s="128" t="s">
        <v>37</v>
      </c>
      <c r="C124" s="136">
        <v>6</v>
      </c>
      <c r="D124" s="136"/>
      <c r="E124" s="129" t="s">
        <v>38</v>
      </c>
      <c r="F124" s="130" t="s">
        <v>138</v>
      </c>
      <c r="G124" s="131" t="s">
        <v>68</v>
      </c>
      <c r="H124" s="150"/>
    </row>
    <row r="125" spans="2:8" s="39" customFormat="1" ht="30" customHeight="1" thickBot="1" x14ac:dyDescent="0.3">
      <c r="B125" s="61" t="s">
        <v>39</v>
      </c>
      <c r="C125" s="133" t="s">
        <v>40</v>
      </c>
      <c r="D125" s="132"/>
      <c r="E125" s="61" t="s">
        <v>41</v>
      </c>
      <c r="F125" s="253" t="s">
        <v>42</v>
      </c>
      <c r="G125" s="254"/>
      <c r="H125" s="150"/>
    </row>
    <row r="126" spans="2:8" s="43" customFormat="1" ht="27" x14ac:dyDescent="0.3">
      <c r="B126" s="40" t="s">
        <v>30</v>
      </c>
      <c r="C126" s="41">
        <v>9</v>
      </c>
      <c r="D126" s="124" t="str">
        <f xml:space="preserve"> IF(C126="","",setValueToTime(C126))</f>
        <v xml:space="preserve"> 45 min</v>
      </c>
      <c r="E126" s="42" t="s">
        <v>184</v>
      </c>
      <c r="F126" s="243"/>
      <c r="G126" s="244"/>
      <c r="H126" s="151"/>
    </row>
    <row r="127" spans="2:8" s="43" customFormat="1" ht="27" x14ac:dyDescent="0.3">
      <c r="B127" s="44" t="s">
        <v>49</v>
      </c>
      <c r="C127" s="45">
        <v>7</v>
      </c>
      <c r="D127" s="125" t="str">
        <f t="shared" ref="D127:D129" si="15" xml:space="preserve"> IF(C127="","",setValueToTime(C127))</f>
        <v xml:space="preserve"> 35 min</v>
      </c>
      <c r="E127" s="46" t="s">
        <v>188</v>
      </c>
      <c r="F127" s="245"/>
      <c r="G127" s="246"/>
      <c r="H127" s="151"/>
    </row>
    <row r="128" spans="2:8" s="43" customFormat="1" ht="27" x14ac:dyDescent="0.3">
      <c r="B128" s="44" t="s">
        <v>56</v>
      </c>
      <c r="C128" s="45">
        <v>6</v>
      </c>
      <c r="D128" s="125" t="str">
        <f t="shared" si="15"/>
        <v xml:space="preserve"> 30 min</v>
      </c>
      <c r="E128" s="46" t="s">
        <v>189</v>
      </c>
      <c r="F128" s="245"/>
      <c r="G128" s="246"/>
      <c r="H128" s="151"/>
    </row>
    <row r="129" spans="2:8" s="43" customFormat="1" ht="27.75" thickBot="1" x14ac:dyDescent="0.35">
      <c r="B129" s="47" t="s">
        <v>31</v>
      </c>
      <c r="C129" s="47">
        <v>4</v>
      </c>
      <c r="D129" s="127" t="str">
        <f t="shared" si="15"/>
        <v xml:space="preserve"> 20 min</v>
      </c>
      <c r="E129" s="48" t="s">
        <v>154</v>
      </c>
      <c r="F129" s="249"/>
      <c r="G129" s="250"/>
      <c r="H129" s="151"/>
    </row>
    <row r="130" spans="2:8" s="43" customFormat="1" ht="15" thickBot="1" x14ac:dyDescent="0.35">
      <c r="B130" s="134" t="s">
        <v>44</v>
      </c>
      <c r="C130" s="66">
        <f>SUM(C126:C129)</f>
        <v>26</v>
      </c>
      <c r="D130" s="134" t="str">
        <f xml:space="preserve"> setValueToTime(C130)</f>
        <v>2h 10 min</v>
      </c>
      <c r="E130" s="95"/>
      <c r="F130" s="251"/>
      <c r="G130" s="252"/>
      <c r="H130" s="151"/>
    </row>
    <row r="131" spans="2:8" s="43" customFormat="1" ht="15" thickBot="1" x14ac:dyDescent="0.35">
      <c r="B131" s="60"/>
      <c r="C131" s="60"/>
      <c r="D131" s="60"/>
      <c r="E131" s="60"/>
      <c r="F131" s="60"/>
      <c r="G131" s="60"/>
      <c r="H131" s="151"/>
    </row>
    <row r="132" spans="2:8" s="39" customFormat="1" ht="30" customHeight="1" thickBot="1" x14ac:dyDescent="0.3">
      <c r="B132" s="128" t="s">
        <v>37</v>
      </c>
      <c r="C132" s="136">
        <v>5</v>
      </c>
      <c r="D132" s="136"/>
      <c r="E132" s="129" t="s">
        <v>38</v>
      </c>
      <c r="F132" s="130" t="s">
        <v>138</v>
      </c>
      <c r="G132" s="131" t="s">
        <v>66</v>
      </c>
      <c r="H132" s="150"/>
    </row>
    <row r="133" spans="2:8" s="39" customFormat="1" ht="30" customHeight="1" thickBot="1" x14ac:dyDescent="0.3">
      <c r="B133" s="61" t="s">
        <v>39</v>
      </c>
      <c r="C133" s="133" t="s">
        <v>40</v>
      </c>
      <c r="D133" s="132"/>
      <c r="E133" s="61" t="s">
        <v>41</v>
      </c>
      <c r="F133" s="253" t="s">
        <v>42</v>
      </c>
      <c r="G133" s="254"/>
      <c r="H133" s="150"/>
    </row>
    <row r="134" spans="2:8" s="43" customFormat="1" ht="40.5" x14ac:dyDescent="0.3">
      <c r="B134" s="40" t="s">
        <v>53</v>
      </c>
      <c r="C134" s="41">
        <v>8</v>
      </c>
      <c r="D134" s="124" t="str">
        <f xml:space="preserve"> IF(C134="","",setValueToTime(C134))</f>
        <v xml:space="preserve"> 40 min</v>
      </c>
      <c r="E134" s="42" t="s">
        <v>171</v>
      </c>
      <c r="F134" s="255" t="s">
        <v>185</v>
      </c>
      <c r="G134" s="256"/>
      <c r="H134" s="151"/>
    </row>
    <row r="135" spans="2:8" s="43" customFormat="1" x14ac:dyDescent="0.3">
      <c r="B135" s="44" t="s">
        <v>28</v>
      </c>
      <c r="C135" s="45">
        <v>3</v>
      </c>
      <c r="D135" s="125" t="str">
        <f t="shared" ref="D135:D141" si="16" xml:space="preserve"> IF(C135="","",setValueToTime(C135))</f>
        <v xml:space="preserve"> 15 min</v>
      </c>
      <c r="E135" s="46" t="s">
        <v>172</v>
      </c>
      <c r="F135" s="257"/>
      <c r="G135" s="258"/>
      <c r="H135" s="151"/>
    </row>
    <row r="136" spans="2:8" s="43" customFormat="1" ht="27" x14ac:dyDescent="0.3">
      <c r="B136" s="44" t="s">
        <v>54</v>
      </c>
      <c r="C136" s="45">
        <v>1</v>
      </c>
      <c r="D136" s="125" t="str">
        <f t="shared" si="16"/>
        <v xml:space="preserve"> 5 min</v>
      </c>
      <c r="E136" s="46" t="s">
        <v>173</v>
      </c>
      <c r="F136" s="257"/>
      <c r="G136" s="258"/>
      <c r="H136" s="151"/>
    </row>
    <row r="137" spans="2:8" s="43" customFormat="1" ht="27" x14ac:dyDescent="0.3">
      <c r="B137" s="44" t="s">
        <v>55</v>
      </c>
      <c r="C137" s="45">
        <v>5</v>
      </c>
      <c r="D137" s="125" t="str">
        <f t="shared" si="16"/>
        <v xml:space="preserve"> 25 min</v>
      </c>
      <c r="E137" s="46" t="s">
        <v>175</v>
      </c>
      <c r="F137" s="259" t="s">
        <v>176</v>
      </c>
      <c r="G137" s="258"/>
      <c r="H137" s="151"/>
    </row>
    <row r="138" spans="2:8" s="43" customFormat="1" ht="27" x14ac:dyDescent="0.3">
      <c r="B138" s="45" t="s">
        <v>49</v>
      </c>
      <c r="C138" s="45">
        <v>2</v>
      </c>
      <c r="D138" s="126" t="str">
        <f t="shared" si="16"/>
        <v xml:space="preserve"> 10 min</v>
      </c>
      <c r="E138" s="46" t="s">
        <v>186</v>
      </c>
      <c r="F138" s="259" t="s">
        <v>187</v>
      </c>
      <c r="G138" s="258"/>
      <c r="H138" s="151"/>
    </row>
    <row r="139" spans="2:8" s="43" customFormat="1" ht="27" x14ac:dyDescent="0.3">
      <c r="B139" s="45" t="s">
        <v>30</v>
      </c>
      <c r="C139" s="45">
        <v>12</v>
      </c>
      <c r="D139" s="126" t="str">
        <f t="shared" ref="D139" si="17" xml:space="preserve"> IF(C139="","",setValueToTime(C139))</f>
        <v>1h</v>
      </c>
      <c r="E139" s="46" t="s">
        <v>177</v>
      </c>
      <c r="F139" s="259" t="s">
        <v>180</v>
      </c>
      <c r="G139" s="258"/>
      <c r="H139" s="151"/>
    </row>
    <row r="140" spans="2:8" s="43" customFormat="1" ht="27" x14ac:dyDescent="0.3">
      <c r="B140" s="45" t="s">
        <v>30</v>
      </c>
      <c r="C140" s="45">
        <v>4</v>
      </c>
      <c r="D140" s="126" t="str">
        <f t="shared" si="16"/>
        <v xml:space="preserve"> 20 min</v>
      </c>
      <c r="E140" s="46" t="s">
        <v>181</v>
      </c>
      <c r="F140" s="257"/>
      <c r="G140" s="258"/>
      <c r="H140" s="151"/>
    </row>
    <row r="141" spans="2:8" s="43" customFormat="1" ht="27.75" thickBot="1" x14ac:dyDescent="0.35">
      <c r="B141" s="47" t="s">
        <v>31</v>
      </c>
      <c r="C141" s="47">
        <v>3</v>
      </c>
      <c r="D141" s="127" t="str">
        <f t="shared" si="16"/>
        <v xml:space="preserve"> 15 min</v>
      </c>
      <c r="E141" s="48" t="s">
        <v>154</v>
      </c>
      <c r="F141" s="260"/>
      <c r="G141" s="261"/>
      <c r="H141" s="151"/>
    </row>
    <row r="142" spans="2:8" s="43" customFormat="1" ht="15" thickBot="1" x14ac:dyDescent="0.35">
      <c r="B142" s="134" t="s">
        <v>44</v>
      </c>
      <c r="C142" s="66">
        <f>SUM(C134:C141)</f>
        <v>38</v>
      </c>
      <c r="D142" s="134" t="str">
        <f xml:space="preserve"> setValueToTime(C142)</f>
        <v>3h 10 min</v>
      </c>
      <c r="E142" s="95"/>
      <c r="F142" s="251"/>
      <c r="G142" s="252"/>
      <c r="H142" s="151"/>
    </row>
    <row r="143" spans="2:8" s="43" customFormat="1" ht="15" thickBot="1" x14ac:dyDescent="0.35">
      <c r="B143" s="60"/>
      <c r="C143" s="60"/>
      <c r="D143" s="60"/>
      <c r="E143" s="60"/>
      <c r="F143" s="60"/>
      <c r="G143" s="60"/>
      <c r="H143" s="151"/>
    </row>
    <row r="144" spans="2:8" s="39" customFormat="1" ht="30" customHeight="1" thickBot="1" x14ac:dyDescent="0.3">
      <c r="B144" s="128" t="s">
        <v>37</v>
      </c>
      <c r="C144" s="136">
        <v>4</v>
      </c>
      <c r="D144" s="136"/>
      <c r="E144" s="129" t="s">
        <v>38</v>
      </c>
      <c r="F144" s="130" t="s">
        <v>141</v>
      </c>
      <c r="G144" s="131" t="s">
        <v>68</v>
      </c>
      <c r="H144" s="150"/>
    </row>
    <row r="145" spans="2:8" s="39" customFormat="1" ht="30" customHeight="1" thickBot="1" x14ac:dyDescent="0.3">
      <c r="B145" s="61" t="s">
        <v>39</v>
      </c>
      <c r="C145" s="133" t="s">
        <v>40</v>
      </c>
      <c r="D145" s="132"/>
      <c r="E145" s="61" t="s">
        <v>41</v>
      </c>
      <c r="F145" s="253" t="s">
        <v>42</v>
      </c>
      <c r="G145" s="254"/>
      <c r="H145" s="150"/>
    </row>
    <row r="146" spans="2:8" s="43" customFormat="1" ht="27" x14ac:dyDescent="0.3">
      <c r="B146" s="40" t="s">
        <v>52</v>
      </c>
      <c r="C146" s="41">
        <v>12</v>
      </c>
      <c r="D146" s="124" t="str">
        <f xml:space="preserve"> IF(C146="","",setValueToTime(C146))</f>
        <v>1h</v>
      </c>
      <c r="E146" s="42" t="s">
        <v>155</v>
      </c>
      <c r="F146" s="255" t="s">
        <v>157</v>
      </c>
      <c r="G146" s="256"/>
      <c r="H146" s="151"/>
    </row>
    <row r="147" spans="2:8" s="43" customFormat="1" ht="27" x14ac:dyDescent="0.3">
      <c r="B147" s="44" t="s">
        <v>52</v>
      </c>
      <c r="C147" s="45">
        <v>12</v>
      </c>
      <c r="D147" s="125" t="str">
        <f t="shared" ref="D147:D152" si="18" xml:space="preserve"> IF(C147="","",setValueToTime(C147))</f>
        <v>1h</v>
      </c>
      <c r="E147" s="46" t="s">
        <v>160</v>
      </c>
      <c r="F147" s="259" t="s">
        <v>158</v>
      </c>
      <c r="G147" s="258"/>
      <c r="H147" s="151"/>
    </row>
    <row r="148" spans="2:8" s="43" customFormat="1" ht="27" x14ac:dyDescent="0.3">
      <c r="B148" s="44" t="s">
        <v>52</v>
      </c>
      <c r="C148" s="45">
        <v>4</v>
      </c>
      <c r="D148" s="125" t="str">
        <f t="shared" ref="D148" si="19" xml:space="preserve"> IF(C148="","",setValueToTime(C148))</f>
        <v xml:space="preserve"> 20 min</v>
      </c>
      <c r="E148" s="46" t="s">
        <v>167</v>
      </c>
      <c r="F148" s="259" t="s">
        <v>169</v>
      </c>
      <c r="G148" s="258"/>
      <c r="H148" s="151"/>
    </row>
    <row r="149" spans="2:8" s="43" customFormat="1" x14ac:dyDescent="0.3">
      <c r="B149" s="44" t="s">
        <v>28</v>
      </c>
      <c r="C149" s="45">
        <v>2</v>
      </c>
      <c r="D149" s="125" t="str">
        <f t="shared" si="18"/>
        <v xml:space="preserve"> 10 min</v>
      </c>
      <c r="E149" s="46" t="s">
        <v>161</v>
      </c>
      <c r="F149" s="257"/>
      <c r="G149" s="258"/>
      <c r="H149" s="151"/>
    </row>
    <row r="150" spans="2:8" s="43" customFormat="1" ht="40.5" x14ac:dyDescent="0.3">
      <c r="B150" s="45" t="s">
        <v>52</v>
      </c>
      <c r="C150" s="45">
        <v>4</v>
      </c>
      <c r="D150" s="126" t="str">
        <f xml:space="preserve"> IF(C150="","",setValueToTime(C150))</f>
        <v xml:space="preserve"> 20 min</v>
      </c>
      <c r="E150" s="46" t="s">
        <v>170</v>
      </c>
      <c r="F150" s="257"/>
      <c r="G150" s="258"/>
      <c r="H150" s="151"/>
    </row>
    <row r="151" spans="2:8" s="43" customFormat="1" ht="27" x14ac:dyDescent="0.3">
      <c r="B151" s="45" t="s">
        <v>54</v>
      </c>
      <c r="C151" s="45">
        <v>1</v>
      </c>
      <c r="D151" s="126" t="str">
        <f xml:space="preserve"> IF(C151="","",setValueToTime(C151))</f>
        <v xml:space="preserve"> 5 min</v>
      </c>
      <c r="E151" s="46" t="s">
        <v>174</v>
      </c>
      <c r="F151" s="257"/>
      <c r="G151" s="258"/>
      <c r="H151" s="151"/>
    </row>
    <row r="152" spans="2:8" s="43" customFormat="1" ht="27.75" thickBot="1" x14ac:dyDescent="0.35">
      <c r="B152" s="47" t="s">
        <v>31</v>
      </c>
      <c r="C152" s="47">
        <v>3</v>
      </c>
      <c r="D152" s="127" t="str">
        <f t="shared" si="18"/>
        <v xml:space="preserve"> 15 min</v>
      </c>
      <c r="E152" s="48" t="s">
        <v>168</v>
      </c>
      <c r="F152" s="260"/>
      <c r="G152" s="261"/>
      <c r="H152" s="151"/>
    </row>
    <row r="153" spans="2:8" s="43" customFormat="1" ht="15" thickBot="1" x14ac:dyDescent="0.35">
      <c r="B153" s="134" t="s">
        <v>44</v>
      </c>
      <c r="C153" s="66">
        <f>SUM(C146:C152)</f>
        <v>38</v>
      </c>
      <c r="D153" s="134" t="str">
        <f xml:space="preserve"> setValueToTime(C153)</f>
        <v>3h 10 min</v>
      </c>
      <c r="E153" s="95"/>
      <c r="F153" s="251"/>
      <c r="G153" s="252"/>
      <c r="H153" s="151"/>
    </row>
    <row r="154" spans="2:8" s="43" customFormat="1" ht="15" thickBot="1" x14ac:dyDescent="0.35">
      <c r="B154" s="60"/>
      <c r="C154" s="60"/>
      <c r="D154" s="60"/>
      <c r="E154" s="60"/>
      <c r="F154" s="60"/>
      <c r="G154" s="60"/>
      <c r="H154" s="151"/>
    </row>
    <row r="155" spans="2:8" s="39" customFormat="1" ht="30" customHeight="1" thickBot="1" x14ac:dyDescent="0.3">
      <c r="B155" s="128" t="s">
        <v>37</v>
      </c>
      <c r="C155" s="136">
        <v>3</v>
      </c>
      <c r="D155" s="136"/>
      <c r="E155" s="129" t="s">
        <v>38</v>
      </c>
      <c r="F155" s="130" t="s">
        <v>141</v>
      </c>
      <c r="G155" s="131" t="s">
        <v>66</v>
      </c>
      <c r="H155" s="150"/>
    </row>
    <row r="156" spans="2:8" s="39" customFormat="1" ht="30" customHeight="1" thickBot="1" x14ac:dyDescent="0.3">
      <c r="B156" s="61" t="s">
        <v>39</v>
      </c>
      <c r="C156" s="133" t="s">
        <v>40</v>
      </c>
      <c r="D156" s="132"/>
      <c r="E156" s="61" t="s">
        <v>41</v>
      </c>
      <c r="F156" s="253" t="s">
        <v>42</v>
      </c>
      <c r="G156" s="254"/>
      <c r="H156" s="150"/>
    </row>
    <row r="157" spans="2:8" s="43" customFormat="1" ht="27" x14ac:dyDescent="0.3">
      <c r="B157" s="40" t="s">
        <v>48</v>
      </c>
      <c r="C157" s="41">
        <v>6</v>
      </c>
      <c r="D157" s="124" t="str">
        <f xml:space="preserve"> IF(C157="","",setValueToTime(C157))</f>
        <v xml:space="preserve"> 30 min</v>
      </c>
      <c r="E157" s="42" t="s">
        <v>146</v>
      </c>
      <c r="F157" s="262"/>
      <c r="G157" s="256"/>
      <c r="H157" s="151"/>
    </row>
    <row r="158" spans="2:8" s="43" customFormat="1" ht="231.75" customHeight="1" x14ac:dyDescent="0.3">
      <c r="B158" s="44" t="s">
        <v>47</v>
      </c>
      <c r="C158" s="45">
        <v>9</v>
      </c>
      <c r="D158" s="125" t="str">
        <f t="shared" ref="D158:D165" si="20" xml:space="preserve"> IF(C158="","",setValueToTime(C158))</f>
        <v xml:space="preserve"> 45 min</v>
      </c>
      <c r="E158" s="46" t="s">
        <v>147</v>
      </c>
      <c r="F158" s="259" t="s">
        <v>194</v>
      </c>
      <c r="G158" s="258"/>
      <c r="H158" s="151"/>
    </row>
    <row r="159" spans="2:8" s="43" customFormat="1" ht="27" x14ac:dyDescent="0.3">
      <c r="B159" s="44" t="s">
        <v>52</v>
      </c>
      <c r="C159" s="45">
        <v>12</v>
      </c>
      <c r="D159" s="125" t="str">
        <f xml:space="preserve"> IF(C159="","",setValueToTime(C159))</f>
        <v>1h</v>
      </c>
      <c r="E159" s="200" t="s">
        <v>148</v>
      </c>
      <c r="F159" s="259" t="s">
        <v>156</v>
      </c>
      <c r="G159" s="258"/>
      <c r="H159" s="151"/>
    </row>
    <row r="160" spans="2:8" s="43" customFormat="1" ht="27" x14ac:dyDescent="0.3">
      <c r="B160" s="44" t="s">
        <v>52</v>
      </c>
      <c r="C160" s="45">
        <v>6</v>
      </c>
      <c r="D160" s="125" t="str">
        <f t="shared" si="20"/>
        <v xml:space="preserve"> 30 min</v>
      </c>
      <c r="E160" s="46" t="s">
        <v>152</v>
      </c>
      <c r="F160" s="257"/>
      <c r="G160" s="258"/>
      <c r="H160" s="151"/>
    </row>
    <row r="161" spans="2:8" s="43" customFormat="1" x14ac:dyDescent="0.3">
      <c r="B161" s="45" t="s">
        <v>28</v>
      </c>
      <c r="C161" s="45">
        <v>2</v>
      </c>
      <c r="D161" s="126" t="str">
        <f xml:space="preserve"> IF(C161="","",setValueToTime(C161))</f>
        <v xml:space="preserve"> 10 min</v>
      </c>
      <c r="E161" s="46" t="s">
        <v>149</v>
      </c>
      <c r="F161" s="257"/>
      <c r="G161" s="258"/>
      <c r="H161" s="151"/>
    </row>
    <row r="162" spans="2:8" s="43" customFormat="1" ht="40.5" x14ac:dyDescent="0.3">
      <c r="B162" s="45" t="s">
        <v>53</v>
      </c>
      <c r="C162" s="45">
        <v>1</v>
      </c>
      <c r="D162" s="126" t="str">
        <f t="shared" si="20"/>
        <v xml:space="preserve"> 5 min</v>
      </c>
      <c r="E162" s="46" t="s">
        <v>150</v>
      </c>
      <c r="F162" s="257"/>
      <c r="G162" s="258"/>
      <c r="H162" s="151"/>
    </row>
    <row r="163" spans="2:8" s="43" customFormat="1" ht="27" x14ac:dyDescent="0.3">
      <c r="B163" s="45" t="s">
        <v>55</v>
      </c>
      <c r="C163" s="45">
        <v>1</v>
      </c>
      <c r="D163" s="126" t="str">
        <f t="shared" ref="D163" si="21" xml:space="preserve"> IF(C163="","",setValueToTime(C163))</f>
        <v xml:space="preserve"> 5 min</v>
      </c>
      <c r="E163" s="46" t="s">
        <v>151</v>
      </c>
      <c r="F163" s="257"/>
      <c r="G163" s="258"/>
      <c r="H163" s="151"/>
    </row>
    <row r="164" spans="2:8" s="43" customFormat="1" ht="40.5" x14ac:dyDescent="0.3">
      <c r="B164" s="45" t="s">
        <v>52</v>
      </c>
      <c r="C164" s="45">
        <v>6</v>
      </c>
      <c r="D164" s="126" t="str">
        <f xml:space="preserve"> IF(C164="","",setValueToTime(C164))</f>
        <v xml:space="preserve"> 30 min</v>
      </c>
      <c r="E164" s="46" t="s">
        <v>159</v>
      </c>
      <c r="F164" s="259" t="s">
        <v>153</v>
      </c>
      <c r="G164" s="258"/>
      <c r="H164" s="151"/>
    </row>
    <row r="165" spans="2:8" s="43" customFormat="1" ht="27.75" thickBot="1" x14ac:dyDescent="0.35">
      <c r="B165" s="47" t="s">
        <v>31</v>
      </c>
      <c r="C165" s="47">
        <v>5</v>
      </c>
      <c r="D165" s="127" t="str">
        <f t="shared" si="20"/>
        <v xml:space="preserve"> 25 min</v>
      </c>
      <c r="E165" s="48" t="s">
        <v>154</v>
      </c>
      <c r="F165" s="260"/>
      <c r="G165" s="261"/>
      <c r="H165" s="151"/>
    </row>
    <row r="166" spans="2:8" s="43" customFormat="1" ht="15" thickBot="1" x14ac:dyDescent="0.35">
      <c r="B166" s="134" t="s">
        <v>44</v>
      </c>
      <c r="C166" s="66">
        <f>SUM(C157:C165)</f>
        <v>48</v>
      </c>
      <c r="D166" s="134" t="str">
        <f xml:space="preserve"> setValueToTime(C166)</f>
        <v>4h</v>
      </c>
      <c r="E166" s="95"/>
      <c r="F166" s="251"/>
      <c r="G166" s="252"/>
      <c r="H166" s="151"/>
    </row>
    <row r="167" spans="2:8" s="43" customFormat="1" ht="15" thickBot="1" x14ac:dyDescent="0.35">
      <c r="B167" s="60"/>
      <c r="C167" s="60"/>
      <c r="D167" s="60"/>
      <c r="E167" s="60"/>
      <c r="F167" s="60"/>
      <c r="G167" s="60"/>
      <c r="H167" s="151"/>
    </row>
    <row r="168" spans="2:8" s="39" customFormat="1" ht="30" customHeight="1" thickBot="1" x14ac:dyDescent="0.3">
      <c r="B168" s="128" t="s">
        <v>37</v>
      </c>
      <c r="C168" s="136">
        <v>2</v>
      </c>
      <c r="D168" s="136"/>
      <c r="E168" s="129" t="s">
        <v>38</v>
      </c>
      <c r="F168" s="130" t="s">
        <v>142</v>
      </c>
      <c r="G168" s="131" t="s">
        <v>68</v>
      </c>
      <c r="H168" s="150"/>
    </row>
    <row r="169" spans="2:8" s="39" customFormat="1" ht="30" customHeight="1" thickBot="1" x14ac:dyDescent="0.3">
      <c r="B169" s="61" t="s">
        <v>39</v>
      </c>
      <c r="C169" s="133" t="s">
        <v>40</v>
      </c>
      <c r="D169" s="132"/>
      <c r="E169" s="61" t="s">
        <v>41</v>
      </c>
      <c r="F169" s="253" t="s">
        <v>42</v>
      </c>
      <c r="G169" s="254"/>
      <c r="H169" s="150"/>
    </row>
    <row r="170" spans="2:8" s="43" customFormat="1" ht="27" x14ac:dyDescent="0.3">
      <c r="B170" s="40" t="s">
        <v>30</v>
      </c>
      <c r="C170" s="41">
        <v>12</v>
      </c>
      <c r="D170" s="124" t="str">
        <f xml:space="preserve"> IF(C170="","",setValueToTime(C170))</f>
        <v>1h</v>
      </c>
      <c r="E170" s="42" t="s">
        <v>165</v>
      </c>
      <c r="F170" s="262"/>
      <c r="G170" s="256"/>
      <c r="H170" s="151"/>
    </row>
    <row r="171" spans="2:8" s="43" customFormat="1" ht="27" x14ac:dyDescent="0.3">
      <c r="B171" s="44" t="s">
        <v>30</v>
      </c>
      <c r="C171" s="45">
        <v>12</v>
      </c>
      <c r="D171" s="125" t="str">
        <f t="shared" ref="D171:D173" si="22" xml:space="preserve"> IF(C171="","",setValueToTime(C171))</f>
        <v>1h</v>
      </c>
      <c r="E171" s="46" t="s">
        <v>166</v>
      </c>
      <c r="F171" s="257"/>
      <c r="G171" s="258"/>
      <c r="H171" s="151"/>
    </row>
    <row r="172" spans="2:8" s="43" customFormat="1" ht="27" x14ac:dyDescent="0.3">
      <c r="B172" s="44" t="s">
        <v>30</v>
      </c>
      <c r="C172" s="45">
        <v>11</v>
      </c>
      <c r="D172" s="125" t="str">
        <f t="shared" si="22"/>
        <v xml:space="preserve"> 55 min</v>
      </c>
      <c r="E172" s="46" t="s">
        <v>164</v>
      </c>
      <c r="F172" s="257"/>
      <c r="G172" s="258"/>
      <c r="H172" s="151"/>
    </row>
    <row r="173" spans="2:8" s="43" customFormat="1" ht="27.75" thickBot="1" x14ac:dyDescent="0.35">
      <c r="B173" s="47" t="s">
        <v>31</v>
      </c>
      <c r="C173" s="47">
        <v>3</v>
      </c>
      <c r="D173" s="127" t="str">
        <f t="shared" si="22"/>
        <v xml:space="preserve"> 15 min</v>
      </c>
      <c r="E173" s="48" t="s">
        <v>154</v>
      </c>
      <c r="F173" s="260"/>
      <c r="G173" s="261"/>
      <c r="H173" s="151"/>
    </row>
    <row r="174" spans="2:8" s="43" customFormat="1" ht="15" thickBot="1" x14ac:dyDescent="0.35">
      <c r="B174" s="134" t="s">
        <v>44</v>
      </c>
      <c r="C174" s="66">
        <f>SUM(C170:C173)</f>
        <v>38</v>
      </c>
      <c r="D174" s="134" t="str">
        <f xml:space="preserve"> setValueToTime(C174)</f>
        <v>3h 10 min</v>
      </c>
      <c r="E174" s="95"/>
      <c r="F174" s="251"/>
      <c r="G174" s="252"/>
      <c r="H174" s="151"/>
    </row>
    <row r="175" spans="2:8" s="43" customFormat="1" ht="15" thickBot="1" x14ac:dyDescent="0.35">
      <c r="B175" s="60"/>
      <c r="C175" s="60"/>
      <c r="D175" s="60"/>
      <c r="E175" s="60"/>
      <c r="F175" s="60"/>
      <c r="G175" s="60"/>
      <c r="H175" s="151"/>
    </row>
    <row r="176" spans="2:8" s="39" customFormat="1" ht="30" customHeight="1" thickBot="1" x14ac:dyDescent="0.3">
      <c r="B176" s="128" t="s">
        <v>37</v>
      </c>
      <c r="C176" s="136">
        <v>1</v>
      </c>
      <c r="D176" s="136"/>
      <c r="E176" s="129" t="s">
        <v>38</v>
      </c>
      <c r="F176" s="130" t="s">
        <v>142</v>
      </c>
      <c r="G176" s="131" t="s">
        <v>66</v>
      </c>
      <c r="H176" s="150"/>
    </row>
    <row r="177" spans="2:8" s="39" customFormat="1" ht="30" customHeight="1" thickBot="1" x14ac:dyDescent="0.3">
      <c r="B177" s="61" t="s">
        <v>39</v>
      </c>
      <c r="C177" s="133" t="s">
        <v>40</v>
      </c>
      <c r="D177" s="132"/>
      <c r="E177" s="61" t="s">
        <v>41</v>
      </c>
      <c r="F177" s="253" t="s">
        <v>42</v>
      </c>
      <c r="G177" s="254"/>
      <c r="H177" s="150"/>
    </row>
    <row r="178" spans="2:8" s="43" customFormat="1" ht="40.5" x14ac:dyDescent="0.3">
      <c r="B178" s="40" t="s">
        <v>28</v>
      </c>
      <c r="C178" s="41">
        <v>12</v>
      </c>
      <c r="D178" s="124" t="str">
        <f xml:space="preserve"> IF(C178="","",setValueToTime(C178))</f>
        <v>1h</v>
      </c>
      <c r="E178" s="42" t="s">
        <v>162</v>
      </c>
      <c r="F178" s="262"/>
      <c r="G178" s="256"/>
      <c r="H178" s="151"/>
    </row>
    <row r="179" spans="2:8" s="43" customFormat="1" ht="27" x14ac:dyDescent="0.3">
      <c r="B179" s="44" t="s">
        <v>30</v>
      </c>
      <c r="C179" s="45">
        <v>12</v>
      </c>
      <c r="D179" s="125" t="str">
        <f t="shared" ref="D179:D182" si="23" xml:space="preserve"> IF(C179="","",setValueToTime(C179))</f>
        <v>1h</v>
      </c>
      <c r="E179" s="46" t="s">
        <v>163</v>
      </c>
      <c r="F179" s="257"/>
      <c r="G179" s="258"/>
      <c r="H179" s="151"/>
    </row>
    <row r="180" spans="2:8" s="43" customFormat="1" ht="27" x14ac:dyDescent="0.3">
      <c r="B180" s="44" t="s">
        <v>30</v>
      </c>
      <c r="C180" s="45">
        <v>12</v>
      </c>
      <c r="D180" s="125" t="str">
        <f t="shared" si="23"/>
        <v>1h</v>
      </c>
      <c r="E180" s="46" t="s">
        <v>183</v>
      </c>
      <c r="F180" s="257"/>
      <c r="G180" s="258"/>
      <c r="H180" s="151"/>
    </row>
    <row r="181" spans="2:8" s="43" customFormat="1" ht="40.5" x14ac:dyDescent="0.3">
      <c r="B181" s="44" t="s">
        <v>30</v>
      </c>
      <c r="C181" s="45">
        <v>9</v>
      </c>
      <c r="D181" s="125" t="str">
        <f t="shared" si="23"/>
        <v xml:space="preserve"> 45 min</v>
      </c>
      <c r="E181" s="46" t="s">
        <v>182</v>
      </c>
      <c r="F181" s="257"/>
      <c r="G181" s="258"/>
      <c r="H181" s="151"/>
    </row>
    <row r="182" spans="2:8" s="43" customFormat="1" ht="27.75" thickBot="1" x14ac:dyDescent="0.35">
      <c r="B182" s="47" t="s">
        <v>31</v>
      </c>
      <c r="C182" s="47">
        <v>3</v>
      </c>
      <c r="D182" s="127" t="str">
        <f t="shared" si="23"/>
        <v xml:space="preserve"> 15 min</v>
      </c>
      <c r="E182" s="48" t="s">
        <v>154</v>
      </c>
      <c r="F182" s="260"/>
      <c r="G182" s="261"/>
      <c r="H182" s="151"/>
    </row>
    <row r="183" spans="2:8" s="43" customFormat="1" ht="15" thickBot="1" x14ac:dyDescent="0.35">
      <c r="B183" s="134" t="s">
        <v>44</v>
      </c>
      <c r="C183" s="66">
        <f>SUM(C178:C182)</f>
        <v>48</v>
      </c>
      <c r="D183" s="134" t="str">
        <f xml:space="preserve"> setValueToTime(C183)</f>
        <v>4h</v>
      </c>
      <c r="E183" s="95"/>
      <c r="F183" s="251"/>
      <c r="G183" s="252"/>
      <c r="H183" s="151"/>
    </row>
    <row r="184" spans="2:8" s="43" customFormat="1" x14ac:dyDescent="0.3">
      <c r="B184" s="60"/>
      <c r="C184" s="60"/>
      <c r="D184" s="60"/>
      <c r="E184" s="60"/>
      <c r="F184" s="60"/>
      <c r="G184" s="60"/>
      <c r="H184" s="151"/>
    </row>
  </sheetData>
  <sheetProtection formatRows="0" insertRows="0" insertHyperlinks="0" deleteRows="0" selectLockedCells="1"/>
  <mergeCells count="147">
    <mergeCell ref="F8:G8"/>
    <mergeCell ref="F3:G3"/>
    <mergeCell ref="F4:G4"/>
    <mergeCell ref="F5:G5"/>
    <mergeCell ref="F6:G6"/>
    <mergeCell ref="F7:G7"/>
    <mergeCell ref="F28:G28"/>
    <mergeCell ref="F22:G22"/>
    <mergeCell ref="F23:G23"/>
    <mergeCell ref="F24:G24"/>
    <mergeCell ref="F25:G25"/>
    <mergeCell ref="F26:G26"/>
    <mergeCell ref="F27:G27"/>
    <mergeCell ref="F55:G55"/>
    <mergeCell ref="F56:G56"/>
    <mergeCell ref="F47:G47"/>
    <mergeCell ref="F31:G31"/>
    <mergeCell ref="F32:G32"/>
    <mergeCell ref="F33:G33"/>
    <mergeCell ref="F34:G34"/>
    <mergeCell ref="F35:G35"/>
    <mergeCell ref="F36:G36"/>
    <mergeCell ref="F37:G37"/>
    <mergeCell ref="F40:G40"/>
    <mergeCell ref="F41:G41"/>
    <mergeCell ref="F42:G42"/>
    <mergeCell ref="F43:G43"/>
    <mergeCell ref="F44:G44"/>
    <mergeCell ref="F45:G45"/>
    <mergeCell ref="F46:G46"/>
    <mergeCell ref="F57:G57"/>
    <mergeCell ref="F58:G58"/>
    <mergeCell ref="F59:G59"/>
    <mergeCell ref="F50:G50"/>
    <mergeCell ref="F51:G51"/>
    <mergeCell ref="F52:G52"/>
    <mergeCell ref="F53:G53"/>
    <mergeCell ref="F54:G54"/>
    <mergeCell ref="F80:G80"/>
    <mergeCell ref="F62:G62"/>
    <mergeCell ref="F63:G63"/>
    <mergeCell ref="F64:G64"/>
    <mergeCell ref="F65:G65"/>
    <mergeCell ref="F66:G66"/>
    <mergeCell ref="F67:G67"/>
    <mergeCell ref="F68:G68"/>
    <mergeCell ref="F70:G70"/>
    <mergeCell ref="F71:G71"/>
    <mergeCell ref="F72:G72"/>
    <mergeCell ref="F69:G69"/>
    <mergeCell ref="F129:G129"/>
    <mergeCell ref="F130:G130"/>
    <mergeCell ref="F125:G125"/>
    <mergeCell ref="F126:G126"/>
    <mergeCell ref="F127:G127"/>
    <mergeCell ref="F128:G128"/>
    <mergeCell ref="F120:G120"/>
    <mergeCell ref="F121:G121"/>
    <mergeCell ref="F122:G122"/>
    <mergeCell ref="F115:G115"/>
    <mergeCell ref="F116:G116"/>
    <mergeCell ref="F117:G117"/>
    <mergeCell ref="F119:G119"/>
    <mergeCell ref="F118:G118"/>
    <mergeCell ref="F111:G111"/>
    <mergeCell ref="F112:G112"/>
    <mergeCell ref="F95:G95"/>
    <mergeCell ref="F107:G107"/>
    <mergeCell ref="F108:G108"/>
    <mergeCell ref="F109:G109"/>
    <mergeCell ref="F110:G110"/>
    <mergeCell ref="F96:G96"/>
    <mergeCell ref="F97:G97"/>
    <mergeCell ref="F98:G98"/>
    <mergeCell ref="F99:G99"/>
    <mergeCell ref="F100:G100"/>
    <mergeCell ref="F102:G102"/>
    <mergeCell ref="F103:G103"/>
    <mergeCell ref="F101:G101"/>
    <mergeCell ref="F106:G106"/>
    <mergeCell ref="F162:G162"/>
    <mergeCell ref="F164:G164"/>
    <mergeCell ref="F165:G165"/>
    <mergeCell ref="F166:G166"/>
    <mergeCell ref="F163:G163"/>
    <mergeCell ref="F161:G161"/>
    <mergeCell ref="F145:G145"/>
    <mergeCell ref="F146:G146"/>
    <mergeCell ref="F147:G147"/>
    <mergeCell ref="F148:G148"/>
    <mergeCell ref="F149:G149"/>
    <mergeCell ref="F151:G151"/>
    <mergeCell ref="F152:G152"/>
    <mergeCell ref="F153:G153"/>
    <mergeCell ref="F156:G156"/>
    <mergeCell ref="F157:G157"/>
    <mergeCell ref="F158:G158"/>
    <mergeCell ref="F159:G159"/>
    <mergeCell ref="F160:G160"/>
    <mergeCell ref="F150:G150"/>
    <mergeCell ref="F182:G182"/>
    <mergeCell ref="F183:G183"/>
    <mergeCell ref="F169:G169"/>
    <mergeCell ref="F170:G170"/>
    <mergeCell ref="F171:G171"/>
    <mergeCell ref="F172:G172"/>
    <mergeCell ref="F177:G177"/>
    <mergeCell ref="F178:G178"/>
    <mergeCell ref="F179:G179"/>
    <mergeCell ref="F180:G180"/>
    <mergeCell ref="F181:G181"/>
    <mergeCell ref="F173:G173"/>
    <mergeCell ref="F174:G174"/>
    <mergeCell ref="F133:G133"/>
    <mergeCell ref="F134:G134"/>
    <mergeCell ref="F135:G135"/>
    <mergeCell ref="F136:G136"/>
    <mergeCell ref="F137:G137"/>
    <mergeCell ref="F138:G138"/>
    <mergeCell ref="F140:G140"/>
    <mergeCell ref="F141:G141"/>
    <mergeCell ref="F142:G142"/>
    <mergeCell ref="F139:G139"/>
    <mergeCell ref="F92:G92"/>
    <mergeCell ref="F19:G19"/>
    <mergeCell ref="F16:G16"/>
    <mergeCell ref="F11:G11"/>
    <mergeCell ref="F12:G12"/>
    <mergeCell ref="F13:G13"/>
    <mergeCell ref="F14:G14"/>
    <mergeCell ref="F15:G15"/>
    <mergeCell ref="F17:G17"/>
    <mergeCell ref="F18:G18"/>
    <mergeCell ref="F81:G81"/>
    <mergeCell ref="F75:G75"/>
    <mergeCell ref="F76:G76"/>
    <mergeCell ref="F77:G77"/>
    <mergeCell ref="F78:G78"/>
    <mergeCell ref="F79:G79"/>
    <mergeCell ref="F89:G89"/>
    <mergeCell ref="F90:G90"/>
    <mergeCell ref="F91:G91"/>
    <mergeCell ref="F84:G84"/>
    <mergeCell ref="F85:G85"/>
    <mergeCell ref="F86:G86"/>
    <mergeCell ref="F87:G87"/>
    <mergeCell ref="F88:G88"/>
  </mergeCells>
  <phoneticPr fontId="0" type="noConversion"/>
  <conditionalFormatting sqref="C183">
    <cfRule type="cellIs" dxfId="19" priority="18" operator="greaterThan">
      <formula>60</formula>
    </cfRule>
  </conditionalFormatting>
  <conditionalFormatting sqref="C174">
    <cfRule type="cellIs" dxfId="18" priority="17" operator="greaterThan">
      <formula>60</formula>
    </cfRule>
  </conditionalFormatting>
  <conditionalFormatting sqref="C166">
    <cfRule type="cellIs" dxfId="17" priority="16" operator="greaterThan">
      <formula>60</formula>
    </cfRule>
  </conditionalFormatting>
  <conditionalFormatting sqref="C153">
    <cfRule type="cellIs" dxfId="16" priority="15" operator="greaterThan">
      <formula>60</formula>
    </cfRule>
  </conditionalFormatting>
  <conditionalFormatting sqref="C142">
    <cfRule type="cellIs" dxfId="15" priority="14" operator="greaterThan">
      <formula>60</formula>
    </cfRule>
  </conditionalFormatting>
  <conditionalFormatting sqref="C130">
    <cfRule type="cellIs" dxfId="14" priority="13" operator="greaterThan">
      <formula>60</formula>
    </cfRule>
  </conditionalFormatting>
  <conditionalFormatting sqref="C122">
    <cfRule type="cellIs" dxfId="13" priority="12" operator="greaterThan">
      <formula>60</formula>
    </cfRule>
  </conditionalFormatting>
  <conditionalFormatting sqref="C112">
    <cfRule type="cellIs" dxfId="12" priority="11" operator="greaterThan">
      <formula>60</formula>
    </cfRule>
  </conditionalFormatting>
  <conditionalFormatting sqref="C103">
    <cfRule type="cellIs" dxfId="11" priority="10" operator="greaterThan">
      <formula>60</formula>
    </cfRule>
  </conditionalFormatting>
  <conditionalFormatting sqref="C92">
    <cfRule type="cellIs" dxfId="10" priority="9" operator="greaterThan">
      <formula>60</formula>
    </cfRule>
  </conditionalFormatting>
  <conditionalFormatting sqref="C81">
    <cfRule type="cellIs" dxfId="9" priority="8" operator="greaterThan">
      <formula>60</formula>
    </cfRule>
  </conditionalFormatting>
  <conditionalFormatting sqref="C72">
    <cfRule type="cellIs" dxfId="8" priority="7" operator="greaterThan">
      <formula>60</formula>
    </cfRule>
  </conditionalFormatting>
  <conditionalFormatting sqref="C59">
    <cfRule type="cellIs" dxfId="7" priority="6" operator="greaterThan">
      <formula>60</formula>
    </cfRule>
  </conditionalFormatting>
  <conditionalFormatting sqref="C47">
    <cfRule type="cellIs" dxfId="6" priority="5" operator="greaterThan">
      <formula>60</formula>
    </cfRule>
  </conditionalFormatting>
  <conditionalFormatting sqref="C37">
    <cfRule type="cellIs" dxfId="5" priority="4" operator="greaterThan">
      <formula>60</formula>
    </cfRule>
  </conditionalFormatting>
  <conditionalFormatting sqref="C28">
    <cfRule type="cellIs" dxfId="4" priority="3" operator="greaterThan">
      <formula>60</formula>
    </cfRule>
  </conditionalFormatting>
  <conditionalFormatting sqref="C19">
    <cfRule type="cellIs" dxfId="3" priority="2" operator="greaterThan">
      <formula>60</formula>
    </cfRule>
  </conditionalFormatting>
  <conditionalFormatting sqref="C8">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57:C165 C170:C173 C178:C182 C146:C152 C134:C141 C126:C129 C116:C121 C107:C111 C96:C102 C76:C80 C85:C91 C63:C71 C51:C58 C41:C46 C32:C36 C23:C27 C12:C18 C4:C7"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3 C174 C166 C153 C142 C130 C122 C112 C103 C92 C81 C72 C59 C47 C37 C28 C19 C8" xr:uid="{63BC0A6B-086E-4349-A341-CAA4B17C6BAC}">
      <formula1>0</formula1>
      <formula2>60</formula2>
    </dataValidation>
  </dataValidations>
  <printOptions horizontalCentered="1" verticalCentered="1"/>
  <pageMargins left="0.19685039370078741" right="0.19685039370078741" top="0.98425196850393704" bottom="0.98425196850393704" header="0.51181102362204722" footer="0.51181102362204722"/>
  <pageSetup paperSize="9" scale="55" fitToHeight="0"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95250</xdr:rowOff>
              </from>
              <to>
                <xdr:col>2</xdr:col>
                <xdr:colOff>457200</xdr:colOff>
                <xdr:row>0</xdr:row>
                <xdr:rowOff>561975</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95250</xdr:rowOff>
              </from>
              <to>
                <xdr:col>4</xdr:col>
                <xdr:colOff>762000</xdr:colOff>
                <xdr:row>0</xdr:row>
                <xdr:rowOff>571500</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B157:B165 B170:B173 B178:B182 B146:B152 B134:B141 B126:B129 B116:B121 B107:B111 B96:B102 B76:B80 B85:B91 B63:B71 B51:B58 B41:B46 B32:B36 B23:B27 B12:B18 B4:B7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73"/>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73"/>
    </row>
    <row r="12" spans="1:61" ht="18.75" thickBot="1" x14ac:dyDescent="0.3">
      <c r="A12" s="208"/>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73"/>
    </row>
    <row r="13" spans="1:61" ht="18.75" thickBot="1" x14ac:dyDescent="0.3">
      <c r="A13" s="209" t="s">
        <v>37</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73"/>
    </row>
    <row r="14" spans="1:61" ht="15.75" thickBot="1" x14ac:dyDescent="0.35">
      <c r="A14" s="80"/>
      <c r="B14" s="81"/>
      <c r="C14" s="81"/>
      <c r="D14" s="81"/>
      <c r="E14" s="212" t="s">
        <v>18</v>
      </c>
      <c r="F14" s="212"/>
      <c r="G14" s="212"/>
      <c r="H14" s="212"/>
      <c r="I14" s="81"/>
      <c r="J14" s="81"/>
      <c r="K14" s="213" t="s">
        <v>19</v>
      </c>
      <c r="L14" s="213"/>
      <c r="M14" s="213"/>
      <c r="N14" s="213"/>
      <c r="O14" s="101"/>
      <c r="P14" s="101"/>
      <c r="Q14" s="212" t="s">
        <v>20</v>
      </c>
      <c r="R14" s="212"/>
      <c r="S14" s="212"/>
      <c r="T14" s="212"/>
      <c r="U14" s="81"/>
      <c r="V14" s="81"/>
      <c r="W14" s="213" t="s">
        <v>21</v>
      </c>
      <c r="X14" s="213"/>
      <c r="Y14" s="213"/>
      <c r="Z14" s="213"/>
      <c r="AA14" s="101"/>
      <c r="AB14" s="101"/>
      <c r="AC14" s="212" t="s">
        <v>22</v>
      </c>
      <c r="AD14" s="212"/>
      <c r="AE14" s="212"/>
      <c r="AF14" s="212"/>
      <c r="AG14" s="81"/>
      <c r="AH14" s="81"/>
      <c r="AI14" s="213" t="s">
        <v>23</v>
      </c>
      <c r="AJ14" s="213"/>
      <c r="AK14" s="213"/>
      <c r="AL14" s="213"/>
      <c r="AM14" s="101"/>
      <c r="AN14" s="101"/>
      <c r="AO14" s="212" t="s">
        <v>24</v>
      </c>
      <c r="AP14" s="212"/>
      <c r="AQ14" s="212"/>
      <c r="AR14" s="212"/>
      <c r="AS14" s="81"/>
      <c r="AT14" s="81"/>
      <c r="AU14" s="213" t="s">
        <v>25</v>
      </c>
      <c r="AV14" s="213"/>
      <c r="AW14" s="213"/>
      <c r="AX14" s="213"/>
      <c r="AY14" s="101"/>
      <c r="AZ14" s="101"/>
      <c r="BA14" s="212" t="s">
        <v>26</v>
      </c>
      <c r="BB14" s="212"/>
      <c r="BC14" s="212"/>
      <c r="BD14" s="212"/>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1" t="s">
        <v>42</v>
      </c>
      <c r="G2" s="242"/>
      <c r="H2" s="150"/>
    </row>
    <row r="3" spans="2:8" s="43" customFormat="1" x14ac:dyDescent="0.3">
      <c r="B3" s="40" t="s">
        <v>43</v>
      </c>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4"/>
      <c r="C7" s="45"/>
      <c r="D7" s="126" t="str">
        <f t="shared" si="0"/>
        <v/>
      </c>
      <c r="E7" s="46"/>
      <c r="F7" s="245"/>
      <c r="G7" s="246"/>
      <c r="H7" s="151"/>
    </row>
    <row r="8" spans="2:8" s="43" customFormat="1" x14ac:dyDescent="0.3">
      <c r="B8" s="44"/>
      <c r="C8" s="45"/>
      <c r="D8" s="126" t="str">
        <f t="shared" si="0"/>
        <v/>
      </c>
      <c r="E8" s="46"/>
      <c r="F8" s="245"/>
      <c r="G8" s="246"/>
      <c r="H8" s="151"/>
    </row>
    <row r="9" spans="2:8" s="43" customFormat="1" x14ac:dyDescent="0.3">
      <c r="B9" s="44"/>
      <c r="C9" s="45"/>
      <c r="D9" s="126" t="str">
        <f t="shared" si="0"/>
        <v/>
      </c>
      <c r="E9" s="46"/>
      <c r="F9" s="245"/>
      <c r="G9" s="246"/>
      <c r="H9" s="151"/>
    </row>
    <row r="10" spans="2:8" s="43" customFormat="1" ht="15" thickBot="1" x14ac:dyDescent="0.35">
      <c r="B10" s="44"/>
      <c r="C10" s="47"/>
      <c r="D10" s="127" t="str">
        <f t="shared" si="0"/>
        <v/>
      </c>
      <c r="E10" s="48"/>
      <c r="F10" s="249"/>
      <c r="G10" s="250"/>
      <c r="H10" s="151"/>
    </row>
    <row r="11" spans="2:8" s="43" customFormat="1" ht="15" thickBot="1" x14ac:dyDescent="0.35">
      <c r="B11" s="85" t="s">
        <v>44</v>
      </c>
      <c r="C11" s="67">
        <f>SUM(C3:C10)</f>
        <v>0</v>
      </c>
      <c r="D11" s="85" t="str">
        <f xml:space="preserve"> setValueToTime(C11)</f>
        <v/>
      </c>
      <c r="E11" s="94"/>
      <c r="F11" s="239"/>
      <c r="G11" s="240"/>
      <c r="H11" s="151"/>
    </row>
    <row r="12" spans="2:8" s="43" customFormat="1" x14ac:dyDescent="0.3">
      <c r="B12" s="62"/>
      <c r="C12" s="62"/>
      <c r="D12" s="62"/>
      <c r="E12" s="62"/>
      <c r="F12" s="62"/>
      <c r="G12" s="62"/>
      <c r="H12" s="151"/>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5"/>
      <c r="C7" s="45"/>
      <c r="D7" s="126" t="str">
        <f t="shared" si="0"/>
        <v/>
      </c>
      <c r="E7" s="46"/>
      <c r="F7" s="245"/>
      <c r="G7" s="246"/>
      <c r="H7" s="151"/>
    </row>
    <row r="8" spans="2:8" s="43" customFormat="1" x14ac:dyDescent="0.3">
      <c r="B8" s="45"/>
      <c r="C8" s="45"/>
      <c r="D8" s="126" t="str">
        <f t="shared" si="0"/>
        <v/>
      </c>
      <c r="E8" s="46"/>
      <c r="F8" s="245"/>
      <c r="G8" s="246"/>
      <c r="H8" s="151"/>
    </row>
    <row r="9" spans="2:8" s="43" customFormat="1" x14ac:dyDescent="0.3">
      <c r="B9" s="45"/>
      <c r="C9" s="45"/>
      <c r="D9" s="126" t="str">
        <f t="shared" si="0"/>
        <v/>
      </c>
      <c r="E9" s="46"/>
      <c r="F9" s="245"/>
      <c r="G9" s="246"/>
      <c r="H9" s="151"/>
    </row>
    <row r="10" spans="2:8" s="43" customFormat="1" ht="15" thickBot="1" x14ac:dyDescent="0.35">
      <c r="B10" s="47"/>
      <c r="C10" s="47"/>
      <c r="D10" s="127" t="str">
        <f t="shared" si="0"/>
        <v/>
      </c>
      <c r="E10" s="48"/>
      <c r="F10" s="249"/>
      <c r="G10" s="25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www.w3.org/XML/1998/namespace"/>
    <ds:schemaRef ds:uri="http://schemas.openxmlformats.org/package/2006/metadata/core-properties"/>
    <ds:schemaRef ds:uri="http://purl.org/dc/elements/1.1/"/>
    <ds:schemaRef ds:uri="http://purl.org/dc/terms/"/>
    <ds:schemaRef ds:uri="f7d9f5a6-831d-4621-8c77-cbcaf993e406"/>
    <ds:schemaRef ds:uri="http://schemas.microsoft.com/office/2006/metadata/properties"/>
    <ds:schemaRef ds:uri="http://schemas.microsoft.com/office/infopath/2007/PartnerControls"/>
    <ds:schemaRef ds:uri="http://schemas.microsoft.com/office/2006/documentManagement/types"/>
    <ds:schemaRef ds:uri="a1b10758-7132-46a4-a2fe-7a2cf46f51f4"/>
    <ds:schemaRef ds:uri="http://purl.org/dc/dcmitype/"/>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2025-05-20T14:33:10Z</cp:lastPrinted>
  <dcterms:created xsi:type="dcterms:W3CDTF">1996-10-21T11:03:58Z</dcterms:created>
  <dcterms:modified xsi:type="dcterms:W3CDTF">2025-05-21T09:22:04Z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